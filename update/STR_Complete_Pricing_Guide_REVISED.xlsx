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 Per-Clean" sheetId="1" r:id="rId5"/>
    <sheet state="visible" name="STR Subscriptions" sheetId="2" r:id="rId6"/>
    <sheet state="visible" name="Residential" sheetId="3" r:id="rId7"/>
    <sheet state="visible" name="Seasonal Cleaning" sheetId="4" r:id="rId8"/>
    <sheet state="visible" name="Specialty Services" sheetId="5" r:id="rId9"/>
    <sheet state="visible" name="Add-Ons Menu" sheetId="6" r:id="rId10"/>
    <sheet state="visible" name="Agent Partnership" sheetId="7" r:id="rId11"/>
    <sheet state="visible" name="Revenue Calculator" sheetId="8" r:id="rId12"/>
  </sheets>
  <definedNames/>
  <calcPr/>
</workbook>
</file>

<file path=xl/sharedStrings.xml><?xml version="1.0" encoding="utf-8"?>
<sst xmlns="http://schemas.openxmlformats.org/spreadsheetml/2006/main" count="546" uniqueCount="389">
  <si>
    <t>STR CLEANING CREW — SEASONAL CLEANING (Per Service)</t>
  </si>
  <si>
    <t>STR CLEANING CREW — STR TURNOVER PRICING (Per Clean)</t>
  </si>
  <si>
    <t>STR MONTHLY SUBSCRIPTION PACKAGES</t>
  </si>
  <si>
    <t>RESIDENTIAL CLEANING — SERVICE PRICING</t>
  </si>
  <si>
    <t>Two tiers only. Base = 5 turnovers/month. Extra turnovers at the Extra Clean Rate. Fewer turnovers → double-team for deeper clean. Prices revised −5% from original list.</t>
  </si>
  <si>
    <t>Blue = your inputs · Black = formulas · Prices revised with two consecutive 5% reductions from original list (rounded to nearest $5)</t>
  </si>
  <si>
    <t>#</t>
  </si>
  <si>
    <t>Blue = your inputs · Black = formulas · Comprehensive full-property reset: deeper than Deep Cleaning, including appliance deep, upholstery, descaling, re-caulking, maintenance check.</t>
  </si>
  <si>
    <t>WHAT'S INCLUDED IN EACH TIER</t>
  </si>
  <si>
    <t>Property Type</t>
  </si>
  <si>
    <t>Sq Ft Range</t>
  </si>
  <si>
    <t>Beds</t>
  </si>
  <si>
    <t>Baths</t>
  </si>
  <si>
    <t>Your Price</t>
  </si>
  <si>
    <t>Cleaner Pay</t>
  </si>
  <si>
    <t>Your Profit</t>
  </si>
  <si>
    <t>Margin %</t>
  </si>
  <si>
    <t>Aloha Maids Est.</t>
  </si>
  <si>
    <t>Est. Cost</t>
  </si>
  <si>
    <t>Feature</t>
  </si>
  <si>
    <t>Est. Hours</t>
  </si>
  <si>
    <t>Studio / 1b1b</t>
  </si>
  <si>
    <t>Standard</t>
  </si>
  <si>
    <t>≤ 800</t>
  </si>
  <si>
    <t>Premium Care</t>
  </si>
  <si>
    <t>FIRST VISIT DEEPER CLEAN (Required to Start Subscription)</t>
  </si>
  <si>
    <t>5 Regular Turnovers / Month</t>
  </si>
  <si>
    <t>Home Size</t>
  </si>
  <si>
    <t>Bedrooms</t>
  </si>
  <si>
    <t>Bathrooms</t>
  </si>
  <si>
    <t>Price</t>
  </si>
  <si>
    <t>Cleaner Cost</t>
  </si>
  <si>
    <t>Profit</t>
  </si>
  <si>
    <t>Margin</t>
  </si>
  <si>
    <t>Small (≤1,200 sqft)</t>
  </si>
  <si>
    <t>1–2</t>
  </si>
  <si>
    <t>1–1.5</t>
  </si>
  <si>
    <t>2b 1.5b</t>
  </si>
  <si>
    <t>800–1,200</t>
  </si>
  <si>
    <t>2b 2b</t>
  </si>
  <si>
    <t>3b 2b</t>
  </si>
  <si>
    <t>1,200–1,500</t>
  </si>
  <si>
    <t>Medium (1,200–1,800 sqft)</t>
  </si>
  <si>
    <t>✓</t>
  </si>
  <si>
    <t>2–3</t>
  </si>
  <si>
    <t>2</t>
  </si>
  <si>
    <t>3b 2.5b</t>
  </si>
  <si>
    <t>1,500–2,000</t>
  </si>
  <si>
    <t>4b 3b</t>
  </si>
  <si>
    <t>Large (1,800–2,500 sqft)</t>
  </si>
  <si>
    <t>5–6</t>
  </si>
  <si>
    <t>2,000–2,500</t>
  </si>
  <si>
    <t>3–4</t>
  </si>
  <si>
    <t>2.5–3</t>
  </si>
  <si>
    <t>5b 4b</t>
  </si>
  <si>
    <t>2,500–3,000</t>
  </si>
  <si>
    <t>XL (2,500–3,500 sqft)</t>
  </si>
  <si>
    <t>4–5</t>
  </si>
  <si>
    <t>Post-Clean Inspection Report</t>
  </si>
  <si>
    <t>5b 5b+</t>
  </si>
  <si>
    <t>3,000+</t>
  </si>
  <si>
    <t>Estate (3,500+ sqft)</t>
  </si>
  <si>
    <t>5+</t>
  </si>
  <si>
    <t>4+</t>
  </si>
  <si>
    <t>Photo Documentation (per clean)</t>
  </si>
  <si>
    <t>RECURRING CLEANING (After First Visit)</t>
  </si>
  <si>
    <t>6–7</t>
  </si>
  <si>
    <t>Weekly</t>
  </si>
  <si>
    <t>Biweekly</t>
  </si>
  <si>
    <t>Monthly</t>
  </si>
  <si>
    <t>Cleaner/Visit</t>
  </si>
  <si>
    <t>Supply Level Monitoring &amp; Alerts</t>
  </si>
  <si>
    <t>7–8</t>
  </si>
  <si>
    <t>8–9</t>
  </si>
  <si>
    <t>3–3.5</t>
  </si>
  <si>
    <t>Restock Coordination</t>
  </si>
  <si>
    <t>3.5–4</t>
  </si>
  <si>
    <t>9–10</t>
  </si>
  <si>
    <t>Priority Same-Day Scheduling</t>
  </si>
  <si>
    <t>RESIDENTIAL SUBSCRIPTION — MONTHLY COST TO CLIENT</t>
  </si>
  <si>
    <t>—</t>
  </si>
  <si>
    <t>10–12</t>
  </si>
  <si>
    <t>Weekly (4x/mo)</t>
  </si>
  <si>
    <t>Biweekly (2x/mo)</t>
  </si>
  <si>
    <t>Monthly (1x/mo)</t>
  </si>
  <si>
    <t>Your Monthly Cost</t>
  </si>
  <si>
    <t>Monthly Profit (Weekly)</t>
  </si>
  <si>
    <t>Maintenance Issue Reporting + Vendor Coordination</t>
  </si>
  <si>
    <t>12–14</t>
  </si>
  <si>
    <t>14–16</t>
  </si>
  <si>
    <t>1 Seasonal Deep Clean Included / Year</t>
  </si>
  <si>
    <t>INCLUDED IN EVERY SEASONAL CLEANING</t>
  </si>
  <si>
    <t>Dedicated Account Manager</t>
  </si>
  <si>
    <t xml:space="preserve">  •  Full Deep Cleaning of the entire property (everything from standard turnover + deep tasks)</t>
  </si>
  <si>
    <t>Guest-Ready Styling &amp; Staging Check</t>
  </si>
  <si>
    <t xml:space="preserve">  •  Appliance deep clean — oven interior, fridge inside, dishwasher filter, range hood filter, washer gasket</t>
  </si>
  <si>
    <t xml:space="preserve">  •  Upholstery vacuum + spot extractor on sofas, cushions, chairs</t>
  </si>
  <si>
    <t>MONTHLY SUBSCRIPTION PRICING BY PROPERTY SIZE</t>
  </si>
  <si>
    <t xml:space="preserve">  •  Wash all decorative pillow covers and cushion covers (if applicable, removable)</t>
  </si>
  <si>
    <t>Weekly rate is lowest (loyalty discount). Monthly rate is highest (more effort each visit after longer gap).</t>
  </si>
  <si>
    <t xml:space="preserve">  •  Wash all blankets and bed pillows (full property)</t>
  </si>
  <si>
    <t xml:space="preserve">  •  Mattress vacuum + rotation (all beds)</t>
  </si>
  <si>
    <t>Standard /mo</t>
  </si>
  <si>
    <t>Premium Care /mo</t>
  </si>
  <si>
    <t xml:space="preserve">  •  Tile &amp; grout descaling, calcium/lime removal on shower/tub</t>
  </si>
  <si>
    <t>Per-Clean Rate</t>
  </si>
  <si>
    <t>Extra Clean Rate</t>
  </si>
  <si>
    <t>Your Cost Est.</t>
  </si>
  <si>
    <t xml:space="preserve">  •  Re-caulking bathtubs, sinks, toilets (silicone included)</t>
  </si>
  <si>
    <t xml:space="preserve">  •  AC filter check + replacement (up to 3 filters included)</t>
  </si>
  <si>
    <t xml:space="preserve">  •  Smoke / CO detector battery check + replacement (up to 6 batteries included)</t>
  </si>
  <si>
    <t xml:space="preserve">  •  Lightbulb check + replacement (up to 5 bulbs included)</t>
  </si>
  <si>
    <t xml:space="preserve">  •  Basic pest prevention (ants, spiders, rodents) — sprays/granules</t>
  </si>
  <si>
    <t xml:space="preserve">  •  Maintenance check + photo report on findings</t>
  </si>
  <si>
    <t xml:space="preserve">  •  Coordination &amp; scheduling of outside contractors — no fee</t>
  </si>
  <si>
    <t>REIMBURSABLE PASS-THROUGH (Client Pays Contractor at Cost — No Markup)</t>
  </si>
  <si>
    <t xml:space="preserve">  •  Carpet &amp; upholstery extractor specialist (full-property)</t>
  </si>
  <si>
    <t xml:space="preserve">  •  Curtain &amp; drape drycleaning</t>
  </si>
  <si>
    <t xml:space="preserve">  •  Pool &amp; spa service</t>
  </si>
  <si>
    <t xml:space="preserve">  •  Grill full disassembly service</t>
  </si>
  <si>
    <t xml:space="preserve">  •  Pressure washing (patio / deck / garage)</t>
  </si>
  <si>
    <t xml:space="preserve">  •  Roof &amp; gutter cleaning</t>
  </si>
  <si>
    <t xml:space="preserve">  •  Specialized pest control</t>
  </si>
  <si>
    <t xml:space="preserve">  •  Window cleaning (large or exterior heights)</t>
  </si>
  <si>
    <t xml:space="preserve">  •  Gardening / hedge trimming</t>
  </si>
  <si>
    <t>NOT INCLUDED — CHARGED SEPARATELY</t>
  </si>
  <si>
    <t xml:space="preserve">  •  Excessive condition cleaning — $50/hr per cleaner, min 2 cleaners, manager pre-approval</t>
  </si>
  <si>
    <t xml:space="preserve">  •  Bulbs, filters, batteries beyond included counts — at cost</t>
  </si>
  <si>
    <t xml:space="preserve">  •  Materials over $75 in basic supplies — at cost</t>
  </si>
  <si>
    <t>MARGIN ANALYSIS (Standard Tier — 5 cleans/mo)</t>
  </si>
  <si>
    <t>Monthly Revenue</t>
  </si>
  <si>
    <t>Cleaner Cost (5x)</t>
  </si>
  <si>
    <t>Gross Profit</t>
  </si>
  <si>
    <t>HOW THE SUBSCRIPTION WORKS</t>
  </si>
  <si>
    <t>1. Base = 5 turnovers per month included in the subscription price.</t>
  </si>
  <si>
    <t>2. Fewer than 5 turnovers: We double-team the cleans for deeper service (no refund — time is allocated).</t>
  </si>
  <si>
    <t>3. More than 5 turnovers: Extra cleans billed at the 'Extra Clean Rate' (10% below per-clean rate).</t>
  </si>
  <si>
    <t>4. Month-to-month after 3-month minimum commitment. Cancel anytime after that with 30-day notice.</t>
  </si>
  <si>
    <t>5. Annual prepay discount: 10% off any tier (paid quarterly or annually).</t>
  </si>
  <si>
    <t>6. Seasonal Deep Clean (Premium only): Scheduled twice/year, one included free, second at 50% off.</t>
  </si>
  <si>
    <t>SPECIALTY &amp; ONE-TIME SERVICES</t>
  </si>
  <si>
    <t>DEEP CLEANING (After Bad Checkout / Heavy Use / Room Reset)</t>
  </si>
  <si>
    <t>Property Size</t>
  </si>
  <si>
    <t>Sq Ft</t>
  </si>
  <si>
    <t>Est. Labor Cost</t>
  </si>
  <si>
    <t>1b1b</t>
  </si>
  <si>
    <t>≤800</t>
  </si>
  <si>
    <t>2b2b</t>
  </si>
  <si>
    <t>3b2b</t>
  </si>
  <si>
    <t>3b2.5b–4b3b</t>
  </si>
  <si>
    <t>1,500–2,500</t>
  </si>
  <si>
    <t>ADD-ON SERVICES &amp; UPCHARGES</t>
  </si>
  <si>
    <t>6–8</t>
  </si>
  <si>
    <t>5b4b+</t>
  </si>
  <si>
    <t>2,500–3,500</t>
  </si>
  <si>
    <t>Aligned to Regular Turnover Cleaning service doc. These can be added to any service. Manager-only — do NOT share with cleaners.</t>
  </si>
  <si>
    <t>8–10</t>
  </si>
  <si>
    <t>MOVE-IN / MOVE-OUT CLEANING</t>
  </si>
  <si>
    <t>Add-On Service</t>
  </si>
  <si>
    <t>Unit</t>
  </si>
  <si>
    <t>When It Applies</t>
  </si>
  <si>
    <t>KITCHEN &amp; APPLIANCES</t>
  </si>
  <si>
    <t>Apartment / Condo (≤1,200)</t>
  </si>
  <si>
    <t>≤1,200</t>
  </si>
  <si>
    <t>Full Fridge Cleaning</t>
  </si>
  <si>
    <t>Small House (1,200–1,800)</t>
  </si>
  <si>
    <t>Flat</t>
  </si>
  <si>
    <t>1,200–1,800</t>
  </si>
  <si>
    <t>Leftovers, spills, stains; includes sorting &amp; disposal</t>
  </si>
  <si>
    <t>Medium House (1,800–2,500)</t>
  </si>
  <si>
    <t>1,800–2,500</t>
  </si>
  <si>
    <t>Oven Interior Deep Clean</t>
  </si>
  <si>
    <t>Heavy grease / soiling</t>
  </si>
  <si>
    <t>Stove Deep Clean</t>
  </si>
  <si>
    <t>Burners + grease removal</t>
  </si>
  <si>
    <t>Large House (2,500–3,500)</t>
  </si>
  <si>
    <t>Dishwashing — 1st load</t>
  </si>
  <si>
    <t>Free</t>
  </si>
  <si>
    <t>First load is included</t>
  </si>
  <si>
    <t>Dishwashing — additional loads</t>
  </si>
  <si>
    <t>10–14</t>
  </si>
  <si>
    <t>per load</t>
  </si>
  <si>
    <t>Estate (3,500+)</t>
  </si>
  <si>
    <t>Each additional load</t>
  </si>
  <si>
    <t>3,500+</t>
  </si>
  <si>
    <t>PET SERVICES</t>
  </si>
  <si>
    <t>14–18</t>
  </si>
  <si>
    <t>Pet Hair Removal</t>
  </si>
  <si>
    <t>POST-CONSTRUCTION CLEANING (2 Phases: Rough + Detail)</t>
  </si>
  <si>
    <t>Vacuum only (no fabric laundering)</t>
  </si>
  <si>
    <t>Pet Waste Removal &amp; Disinfection</t>
  </si>
  <si>
    <t>REAL ESTATE AGENT PARTNERSHIP PROGRAM</t>
  </si>
  <si>
    <t>Yard, patio, lawn</t>
  </si>
  <si>
    <t>WALLS, FLOORS &amp; FABRICS</t>
  </si>
  <si>
    <t>HOURLY SERVICES (For Agents)</t>
  </si>
  <si>
    <t>Small Remodel (1 room)</t>
  </si>
  <si>
    <t>≤500</t>
  </si>
  <si>
    <t>Service</t>
  </si>
  <si>
    <t>Rate</t>
  </si>
  <si>
    <t>Min Hours</t>
  </si>
  <si>
    <t>Description</t>
  </si>
  <si>
    <t>Pre-Listing Property Prep</t>
  </si>
  <si>
    <t>$65/hr</t>
  </si>
  <si>
    <t>Medium Remodel (kitchen+bath)</t>
  </si>
  <si>
    <t>500–1,200</t>
  </si>
  <si>
    <t>Declutter, clean, stage for photos</t>
  </si>
  <si>
    <t>Open House Prep</t>
  </si>
  <si>
    <t>$55/hr</t>
  </si>
  <si>
    <t>Quick clean + staging touch-up</t>
  </si>
  <si>
    <t>Post-Showing Clean-Up</t>
  </si>
  <si>
    <t>Wipe Walls</t>
  </si>
  <si>
    <t>Reset between showings</t>
  </si>
  <si>
    <t>per wall side</t>
  </si>
  <si>
    <t>Move-Out Coordination</t>
  </si>
  <si>
    <t>Spot wipe of soiled / marked walls</t>
  </si>
  <si>
    <t>Full Home (≤2,000 sqft)</t>
  </si>
  <si>
    <t>≤2,000</t>
  </si>
  <si>
    <t>Spot Cleaning (fabric / carpet)</t>
  </si>
  <si>
    <t>Full clean + vendor coordination</t>
  </si>
  <si>
    <t>Property Inspection Walk</t>
  </si>
  <si>
    <t>per spot</t>
  </si>
  <si>
    <t>Up to 6×6 in / 15×15 cm, portable extractor</t>
  </si>
  <si>
    <t>Condition report with photos</t>
  </si>
  <si>
    <t>Staging Assist</t>
  </si>
  <si>
    <t>LAUNDRY &amp; LINENS</t>
  </si>
  <si>
    <t>12–16</t>
  </si>
  <si>
    <t>Full Home (2,000–3,000 sqft)</t>
  </si>
  <si>
    <t>2,000–3,000</t>
  </si>
  <si>
    <t>Wash &amp; Dry Laundry (light items)</t>
  </si>
  <si>
    <t>Furniture + decor placement</t>
  </si>
  <si>
    <t>16–20</t>
  </si>
  <si>
    <t>Decorative pillows, bathroom curtains</t>
  </si>
  <si>
    <t>Large Home / New Build (3,000+)</t>
  </si>
  <si>
    <t>Laundry Run (bulky items)</t>
  </si>
  <si>
    <t>PARTNERSHIP TIERS (Annual Commitment)</t>
  </si>
  <si>
    <t>$30 + cost</t>
  </si>
  <si>
    <t>20–30</t>
  </si>
  <si>
    <t>per run</t>
  </si>
  <si>
    <t>Drop-off / pickup at laundromat; bulky blankets, pillows</t>
  </si>
  <si>
    <t>Benefit</t>
  </si>
  <si>
    <t>OUTDOOR &amp; GRILL</t>
  </si>
  <si>
    <t>STR STARTUP / ONBOARDING SERVICE</t>
  </si>
  <si>
    <t>Silver (5+ referrals/yr)</t>
  </si>
  <si>
    <t>Gold (10+ referrals/yr)</t>
  </si>
  <si>
    <t>Referral Commission</t>
  </si>
  <si>
    <t>Grill Deep Clean</t>
  </si>
  <si>
    <t>Component</t>
  </si>
  <si>
    <t>5%</t>
  </si>
  <si>
    <t>Exterior, grates, drip tray, ash removal, polish</t>
  </si>
  <si>
    <t>8%</t>
  </si>
  <si>
    <t>Outdoor Stain Washing</t>
  </si>
  <si>
    <t>10%</t>
  </si>
  <si>
    <t>Notes</t>
  </si>
  <si>
    <t>Priority Scheduling</t>
  </si>
  <si>
    <t>Spot wash on patio / deck / garage surfaces</t>
  </si>
  <si>
    <t>ODOR &amp; SANITATION</t>
  </si>
  <si>
    <t>Base StartUp Package — Up to 2,000 sqft</t>
  </si>
  <si>
    <t>Dedicated Phone Line</t>
  </si>
  <si>
    <t>Co-Branded Marketing Materials</t>
  </si>
  <si>
    <t>Free Property Walk (1/quarter)</t>
  </si>
  <si>
    <t>Ozone Machine Odor Removal</t>
  </si>
  <si>
    <t>Discounted Hourly Rate</t>
  </si>
  <si>
    <t>$60/hr</t>
  </si>
  <si>
    <t>per hour</t>
  </si>
  <si>
    <t>Min 4 hrs; property must be vacant; includes surface + floor wipe-down after</t>
  </si>
  <si>
    <t>Annual Deep Clean Gift (for agent's home)</t>
  </si>
  <si>
    <t>WINDOWS</t>
  </si>
  <si>
    <t>One-time. Documentation + standards + audit + property book. Add-ons billed hourly.</t>
  </si>
  <si>
    <t>Windows — inside + outside</t>
  </si>
  <si>
    <t>per window</t>
  </si>
  <si>
    <t>Base StartUp Package — Over 2,000 sqft</t>
  </si>
  <si>
    <t>Both sides cleaned</t>
  </si>
  <si>
    <t>Windows — inside only</t>
  </si>
  <si>
    <t>Inside-only clean</t>
  </si>
  <si>
    <t>Same scope as above. Properties over 3,500 sqft quoted separately.</t>
  </si>
  <si>
    <t>MISCELLANEOUS</t>
  </si>
  <si>
    <t>Charging Cameras / Smart Devices</t>
  </si>
  <si>
    <t>Pre-arrival device charging</t>
  </si>
  <si>
    <t>Baby Crib / Fold-Out Bed Packing</t>
  </si>
  <si>
    <t>INCLUDED IN BASE STARTUP (both tiers)</t>
  </si>
  <si>
    <t>Assembly + bedding; up to 10 minutes</t>
  </si>
  <si>
    <t>Extra Trash Removal</t>
  </si>
  <si>
    <t>per 13-gal bag</t>
  </si>
  <si>
    <t>When bins are already full</t>
  </si>
  <si>
    <t>Flower / Fruit Pickup</t>
  </si>
  <si>
    <t>$20 + receipt</t>
  </si>
  <si>
    <t>Flat + receipt</t>
  </si>
  <si>
    <t>Pickup + delivery of items + return of receipt</t>
  </si>
  <si>
    <t>ESCALATIONS &amp; SURCHARGES</t>
  </si>
  <si>
    <t>Property Standards Setup</t>
  </si>
  <si>
    <t>Deep Beyond Normal Cleaning</t>
  </si>
  <si>
    <t>per room</t>
  </si>
  <si>
    <t>Trash on floor, stains, cabinet messes, etc.</t>
  </si>
  <si>
    <t>Extra Cleaning / Excessive Condition</t>
  </si>
  <si>
    <t>per hour per cleaner</t>
  </si>
  <si>
    <t>Min 2 cleaners; manager pre-approval required</t>
  </si>
  <si>
    <t>Contracted Extra Services</t>
  </si>
  <si>
    <t>+10%</t>
  </si>
  <si>
    <t>of contractor invoice</t>
  </si>
  <si>
    <t>Surcharge when STR coordinates external contractor</t>
  </si>
  <si>
    <t>Host rules, refills, unique features, pillow/blanket/décor setup</t>
  </si>
  <si>
    <t>Listing &amp; Guest Experience Audit</t>
  </si>
  <si>
    <t>Aesthetic review against listing + welcome touch recommendations</t>
  </si>
  <si>
    <t>Bathrooms &amp; Laundry Standards (light touch up)</t>
  </si>
  <si>
    <t>Required supplies checklist · towel organization · laundry zone setup</t>
  </si>
  <si>
    <t>Documentation &amp; Handover</t>
  </si>
  <si>
    <t>Custom property book with photos · full report + SOPs</t>
  </si>
  <si>
    <t>30-Day Post-StartUp Support</t>
  </si>
  <si>
    <t>Standard refinement + adjustments based on first cleanings</t>
  </si>
  <si>
    <t>OPTIONAL ADD-ONS (Billed hourly — pay only for what you need)</t>
  </si>
  <si>
    <t>General / Excessive Condition Cleaning</t>
  </si>
  <si>
    <t>$50/hr per cleaner</t>
  </si>
  <si>
    <t>Deep clean, neglected property, etc. Min 2 cleaners · manager pre-approval required.</t>
  </si>
  <si>
    <t>Kitchen &amp; Dining Organization</t>
  </si>
  <si>
    <t>$70/hr</t>
  </si>
  <si>
    <t>Arranging tableware, cutlery, cookware · decluttering · setting clear order.</t>
  </si>
  <si>
    <t>Bedrooms &amp; Living Areas Organization</t>
  </si>
  <si>
    <t>Defining standards for pillows, throws, furniture layout · decluttering.</t>
  </si>
  <si>
    <t>EMERGENCY &amp; RESTORATION SERVICES</t>
  </si>
  <si>
    <t>Details</t>
  </si>
  <si>
    <t>Emergency Same-Day Call-Out</t>
  </si>
  <si>
    <t>Surcharge on top of service price</t>
  </si>
  <si>
    <t>Emergency Supervisor Dispatch</t>
  </si>
  <si>
    <t>Custom</t>
  </si>
  <si>
    <t>10% of approved damage claim total</t>
  </si>
  <si>
    <t>Ozone Machine Treatment</t>
  </si>
  <si>
    <t>Min 4 hrs, property must be vacant</t>
  </si>
  <si>
    <t>Flood / Water Damage Response</t>
  </si>
  <si>
    <t>Quoted per situation</t>
  </si>
  <si>
    <t>Sunday &amp; Holiday Surcharge</t>
  </si>
  <si>
    <t>Added to any service</t>
  </si>
  <si>
    <t>Late Cancellation Fee (&lt;24 hrs)</t>
  </si>
  <si>
    <t>Flat fee</t>
  </si>
  <si>
    <t>Waiting Time (&gt;15 min)</t>
  </si>
  <si>
    <t>$25 per 30-min increment</t>
  </si>
  <si>
    <t>MONTHLY REVENUE PROJECTION CALCULATOR</t>
  </si>
  <si>
    <t>Enter your client counts in BLUE cells to project monthly revenue and profit. Subscription rates reflect new −5% pricing.</t>
  </si>
  <si>
    <t>STR SUBSCRIPTION CLIENTS</t>
  </si>
  <si>
    <t>Tier / Size</t>
  </si>
  <si>
    <t># Clients</t>
  </si>
  <si>
    <t>Monthly Rate</t>
  </si>
  <si>
    <t>Est. Cost/Client</t>
  </si>
  <si>
    <t>Monthly Cost</t>
  </si>
  <si>
    <t>Monthly Profit</t>
  </si>
  <si>
    <t>Standard — 2b2b</t>
  </si>
  <si>
    <t>Standard — 3b2b</t>
  </si>
  <si>
    <t>Standard — 4b3b</t>
  </si>
  <si>
    <t>Premium — 2b2b</t>
  </si>
  <si>
    <t>Premium — 3b2b</t>
  </si>
  <si>
    <t>Premium — 3b2.5b</t>
  </si>
  <si>
    <t>Premium — 4b3b</t>
  </si>
  <si>
    <t>STR Subtotal</t>
  </si>
  <si>
    <t>RESIDENTIAL SUBSCRIPTION CLIENTS</t>
  </si>
  <si>
    <t>Weekly — Medium Home</t>
  </si>
  <si>
    <t>Weekly — Large Home</t>
  </si>
  <si>
    <t>Biweekly — Medium Home</t>
  </si>
  <si>
    <t>Biweekly — Large Home</t>
  </si>
  <si>
    <t>Monthly — Medium Home</t>
  </si>
  <si>
    <t>Monthly — Large Home</t>
  </si>
  <si>
    <t>Residential Subtotal</t>
  </si>
  <si>
    <t>ONE-TIME / SPECIALTY SERVICES (Monthly Estimate)</t>
  </si>
  <si>
    <t>Service Type</t>
  </si>
  <si>
    <t># Jobs/Mo</t>
  </si>
  <si>
    <t>Avg Price</t>
  </si>
  <si>
    <t>Revenue</t>
  </si>
  <si>
    <t>Avg Cost</t>
  </si>
  <si>
    <t>Total Cost</t>
  </si>
  <si>
    <t>Deep Cleans (STR or Residential)</t>
  </si>
  <si>
    <t>Move-In / Move-Out</t>
  </si>
  <si>
    <t>Post-Construction</t>
  </si>
  <si>
    <t>STR Startup / Onboarding</t>
  </si>
  <si>
    <t>Agent Hourly Services</t>
  </si>
  <si>
    <t>One-Time Subtotal</t>
  </si>
  <si>
    <t>MONTHLY TOTALS</t>
  </si>
  <si>
    <t>Total Revenue</t>
  </si>
  <si>
    <t>Total Profit</t>
  </si>
  <si>
    <t>GRAND TOTAL</t>
  </si>
  <si>
    <t>OVERALL MARGIN</t>
  </si>
  <si>
    <t>MONTHLY OVERHEAD (Subtract from Profit)</t>
  </si>
  <si>
    <t>Expense</t>
  </si>
  <si>
    <t>Insurance (General Liability)</t>
  </si>
  <si>
    <t>Software (Scheduling, CRM, Accounting)</t>
  </si>
  <si>
    <t>Gas / Mileage Reimbursement</t>
  </si>
  <si>
    <t>Supplies / Equipment Replacement</t>
  </si>
  <si>
    <t>Marketing / Ads</t>
  </si>
  <si>
    <t>Phone / Communication</t>
  </si>
  <si>
    <t>Miscellaneous</t>
  </si>
  <si>
    <t>Total Overhead</t>
  </si>
  <si>
    <t>NET PROFIT (After Overhead)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</si>
</sst>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1.0"/>
      <color rgb="FF000000"/>
      <name val="Arial"/>
    </font>
    <font>
      <sz val="10.0"/>
      <color rgb="FF595959"/>
      <name val="Arial"/>
    </font>
    <font>
      <b/>
      <sz val="11.0"/>
      <color rgb="FF1F4E79"/>
      <name val="Arial"/>
    </font>
    <font>
      <b/>
      <sz val="12.0"/>
      <color rgb="FF000000"/>
      <name val="Arial"/>
    </font>
    <font>
      <sz val="11.0"/>
      <color theme="1"/>
      <name val="Calibri"/>
    </font>
    <font>
      <b/>
      <sz val="11.0"/>
      <color rgb="FF2E7D32"/>
      <name val="Arial"/>
    </font>
    <font>
      <b/>
      <sz val="12.0"/>
      <color rgb="FF1F4E7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3" fontId="8" numFmtId="164" xfId="0" applyAlignment="1" applyBorder="1" applyFill="1" applyFont="1" applyNumberFormat="1">
      <alignment horizontal="right" shrinkToFit="0" vertical="center" wrapText="1"/>
    </xf>
    <xf borderId="1" fillId="2" fontId="5" numFmtId="0" xfId="0" applyAlignment="1" applyBorder="1" applyFill="1" applyFont="1">
      <alignment horizontal="left" readingOrder="0" shrinkToFit="0" vertical="center" wrapText="1"/>
    </xf>
    <xf borderId="4" fillId="0" fontId="7" numFmtId="164" xfId="0" applyAlignment="1" applyBorder="1" applyFont="1" applyNumberFormat="1">
      <alignment horizontal="right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righ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4" fillId="5" fontId="8" numFmtId="164" xfId="0" applyAlignment="1" applyBorder="1" applyFill="1" applyFont="1" applyNumberFormat="1">
      <alignment horizontal="right" shrinkToFit="0" vertical="center" wrapText="1"/>
    </xf>
    <xf borderId="5" fillId="2" fontId="5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ill="1" applyFon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5" fillId="3" fontId="11" numFmtId="0" xfId="0" applyAlignment="1" applyBorder="1" applyFill="1" applyFont="1">
      <alignment horizontal="left" shrinkToFit="0" vertical="center" wrapText="1"/>
    </xf>
    <xf borderId="4" fillId="3" fontId="12" numFmtId="164" xfId="0" applyAlignment="1" applyBorder="1" applyFill="1" applyFont="1" applyNumberFormat="1">
      <alignment horizontal="right" shrinkToFit="0" vertical="center" wrapText="1"/>
    </xf>
    <xf borderId="0" fillId="0" fontId="13" numFmtId="0" xfId="0" applyAlignment="1" applyFont="1">
      <alignment shrinkToFit="0" vertical="bottom" wrapText="0"/>
    </xf>
    <xf borderId="5" fillId="2" fontId="4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ill="1" applyFont="1">
      <alignment horizontal="right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3" fontId="8" numFmtId="1" xfId="0" applyAlignment="1" applyBorder="1" applyFill="1" applyFont="1" applyNumberForma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right" shrinkToFit="0" vertical="center" wrapText="1"/>
    </xf>
    <xf borderId="4" fillId="5" fontId="6" numFmtId="164" xfId="0" applyAlignment="1" applyBorder="1" applyFill="1" applyFont="1" applyNumberFormat="1">
      <alignment horizontal="righ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right" shrinkToFit="0" vertical="center" wrapText="1"/>
    </xf>
    <xf borderId="4" fillId="6" fontId="15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right" shrinkToFit="0" vertical="center" wrapText="1"/>
    </xf>
    <xf borderId="4" fillId="6" fontId="7" numFmtId="164" xfId="0" applyAlignment="1" applyBorder="1" applyFill="1" applyFont="1" applyNumberFormat="1">
      <alignment horizontal="right" shrinkToFit="0" vertical="center" wrapText="1"/>
    </xf>
    <xf borderId="4" fillId="0" fontId="6" numFmtId="165" xfId="0" applyAlignment="1" applyBorder="1" applyFont="1" applyNumberFormat="1">
      <alignment horizontal="righ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12" numFmtId="164" xfId="0" applyAlignment="1" applyBorder="1" applyFill="1" applyFont="1" applyNumberFormat="1">
      <alignment horizontal="righ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3" width="18.0"/>
    <col customWidth="1" min="4" max="5" width="6.0"/>
    <col customWidth="1" min="6" max="8" width="12.0"/>
    <col customWidth="1" min="9" max="9" width="10.0"/>
    <col customWidth="1" min="10" max="10" width="14.0"/>
    <col customWidth="1" min="11" max="26" width="8.71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4" t="s">
        <v>5</v>
      </c>
    </row>
    <row r="4" ht="27.75" customHeight="1">
      <c r="A4" s="5" t="s">
        <v>6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>
      <c r="A5" s="7">
        <v>1.0</v>
      </c>
      <c r="B5" s="8" t="s">
        <v>21</v>
      </c>
      <c r="C5" s="8" t="s">
        <v>23</v>
      </c>
      <c r="D5" s="9">
        <v>1.0</v>
      </c>
      <c r="E5" s="9">
        <v>1.0</v>
      </c>
      <c r="F5" s="10">
        <v>175.0</v>
      </c>
      <c r="G5" s="10">
        <v>110.0</v>
      </c>
      <c r="H5" s="12">
        <f t="shared" ref="H5:H12" si="1">F5-G5</f>
        <v>65</v>
      </c>
      <c r="I5" s="13">
        <f t="shared" ref="I5:I12" si="2">H5/F5</f>
        <v>0.3714285714</v>
      </c>
      <c r="J5" s="14">
        <v>175.0</v>
      </c>
    </row>
    <row r="6">
      <c r="A6" s="7">
        <v>2.0</v>
      </c>
      <c r="B6" s="8" t="s">
        <v>37</v>
      </c>
      <c r="C6" s="8" t="s">
        <v>38</v>
      </c>
      <c r="D6" s="9">
        <v>2.0</v>
      </c>
      <c r="E6" s="9">
        <v>1.5</v>
      </c>
      <c r="F6" s="10">
        <v>225.0</v>
      </c>
      <c r="G6" s="10">
        <v>140.0</v>
      </c>
      <c r="H6" s="12">
        <f t="shared" si="1"/>
        <v>85</v>
      </c>
      <c r="I6" s="13">
        <f t="shared" si="2"/>
        <v>0.3777777778</v>
      </c>
      <c r="J6" s="14">
        <v>220.0</v>
      </c>
    </row>
    <row r="7">
      <c r="A7" s="7">
        <v>3.0</v>
      </c>
      <c r="B7" s="8" t="s">
        <v>39</v>
      </c>
      <c r="C7" s="8" t="s">
        <v>38</v>
      </c>
      <c r="D7" s="9">
        <v>2.0</v>
      </c>
      <c r="E7" s="9">
        <v>2.0</v>
      </c>
      <c r="F7" s="10">
        <v>240.0</v>
      </c>
      <c r="G7" s="10">
        <v>150.0</v>
      </c>
      <c r="H7" s="12">
        <f t="shared" si="1"/>
        <v>90</v>
      </c>
      <c r="I7" s="13">
        <f t="shared" si="2"/>
        <v>0.375</v>
      </c>
      <c r="J7" s="14">
        <v>238.0</v>
      </c>
    </row>
    <row r="8">
      <c r="A8" s="7">
        <v>4.0</v>
      </c>
      <c r="B8" s="8" t="s">
        <v>40</v>
      </c>
      <c r="C8" s="8" t="s">
        <v>41</v>
      </c>
      <c r="D8" s="9">
        <v>3.0</v>
      </c>
      <c r="E8" s="9">
        <v>2.0</v>
      </c>
      <c r="F8" s="10">
        <v>265.0</v>
      </c>
      <c r="G8" s="10">
        <v>170.0</v>
      </c>
      <c r="H8" s="12">
        <f t="shared" si="1"/>
        <v>95</v>
      </c>
      <c r="I8" s="13">
        <f t="shared" si="2"/>
        <v>0.358490566</v>
      </c>
      <c r="J8" s="14">
        <v>268.0</v>
      </c>
    </row>
    <row r="9">
      <c r="A9" s="7">
        <v>5.0</v>
      </c>
      <c r="B9" s="8" t="s">
        <v>46</v>
      </c>
      <c r="C9" s="8" t="s">
        <v>47</v>
      </c>
      <c r="D9" s="9">
        <v>3.0</v>
      </c>
      <c r="E9" s="9">
        <v>2.5</v>
      </c>
      <c r="F9" s="10">
        <v>315.0</v>
      </c>
      <c r="G9" s="10">
        <v>190.0</v>
      </c>
      <c r="H9" s="12">
        <f t="shared" si="1"/>
        <v>125</v>
      </c>
      <c r="I9" s="13">
        <f t="shared" si="2"/>
        <v>0.3968253968</v>
      </c>
      <c r="J9" s="14">
        <v>298.0</v>
      </c>
    </row>
    <row r="10">
      <c r="A10" s="7">
        <v>6.0</v>
      </c>
      <c r="B10" s="8" t="s">
        <v>48</v>
      </c>
      <c r="C10" s="8" t="s">
        <v>51</v>
      </c>
      <c r="D10" s="9">
        <v>4.0</v>
      </c>
      <c r="E10" s="9">
        <v>3.0</v>
      </c>
      <c r="F10" s="10">
        <v>355.0</v>
      </c>
      <c r="G10" s="10">
        <v>215.0</v>
      </c>
      <c r="H10" s="12">
        <f t="shared" si="1"/>
        <v>140</v>
      </c>
      <c r="I10" s="13">
        <f t="shared" si="2"/>
        <v>0.3943661972</v>
      </c>
      <c r="J10" s="14">
        <v>348.0</v>
      </c>
    </row>
    <row r="11">
      <c r="A11" s="7">
        <v>7.0</v>
      </c>
      <c r="B11" s="8" t="s">
        <v>54</v>
      </c>
      <c r="C11" s="8" t="s">
        <v>55</v>
      </c>
      <c r="D11" s="9">
        <v>5.0</v>
      </c>
      <c r="E11" s="9">
        <v>4.0</v>
      </c>
      <c r="F11" s="10">
        <v>430.0</v>
      </c>
      <c r="G11" s="10">
        <v>260.0</v>
      </c>
      <c r="H11" s="12">
        <f t="shared" si="1"/>
        <v>170</v>
      </c>
      <c r="I11" s="13">
        <f t="shared" si="2"/>
        <v>0.3953488372</v>
      </c>
      <c r="J11" s="14">
        <v>418.0</v>
      </c>
    </row>
    <row r="12">
      <c r="A12" s="7">
        <v>8.0</v>
      </c>
      <c r="B12" s="8" t="s">
        <v>59</v>
      </c>
      <c r="C12" s="8" t="s">
        <v>60</v>
      </c>
      <c r="D12" s="9">
        <v>5.0</v>
      </c>
      <c r="E12" s="9">
        <v>5.0</v>
      </c>
      <c r="F12" s="10">
        <v>495.0</v>
      </c>
      <c r="G12" s="10">
        <v>310.0</v>
      </c>
      <c r="H12" s="12">
        <f t="shared" si="1"/>
        <v>185</v>
      </c>
      <c r="I12" s="13">
        <f t="shared" si="2"/>
        <v>0.3737373737</v>
      </c>
      <c r="J12" s="14">
        <v>478.0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4" width="14.0"/>
    <col customWidth="1" min="5" max="6" width="16.0"/>
    <col customWidth="1" min="7" max="26" width="8.71"/>
  </cols>
  <sheetData>
    <row r="1" ht="21.75" customHeight="1">
      <c r="A1" s="1" t="s">
        <v>2</v>
      </c>
      <c r="B1" s="2"/>
      <c r="C1" s="2"/>
      <c r="D1" s="2"/>
      <c r="E1" s="2"/>
      <c r="F1" s="3"/>
    </row>
    <row r="2" ht="21.75" customHeight="1">
      <c r="A2" s="4" t="s">
        <v>4</v>
      </c>
    </row>
    <row r="4" ht="19.5" customHeight="1">
      <c r="A4" s="6" t="s">
        <v>8</v>
      </c>
      <c r="B4" s="2"/>
      <c r="C4" s="2"/>
      <c r="D4" s="2"/>
      <c r="E4" s="2"/>
      <c r="F4" s="3"/>
    </row>
    <row r="5" ht="27.75" customHeight="1">
      <c r="A5" s="5" t="s">
        <v>19</v>
      </c>
      <c r="B5" s="5"/>
      <c r="C5" s="5" t="s">
        <v>22</v>
      </c>
      <c r="D5" s="5"/>
      <c r="E5" s="5" t="s">
        <v>24</v>
      </c>
      <c r="F5" s="5"/>
    </row>
    <row r="6" ht="15.0" customHeight="1">
      <c r="A6" s="15" t="s">
        <v>26</v>
      </c>
      <c r="B6" s="16"/>
      <c r="C6" s="17" t="s">
        <v>43</v>
      </c>
      <c r="D6" s="16"/>
      <c r="E6" s="18" t="s">
        <v>43</v>
      </c>
      <c r="F6" s="16"/>
    </row>
    <row r="7" ht="15.0" customHeight="1">
      <c r="A7" s="15" t="s">
        <v>58</v>
      </c>
      <c r="B7" s="16"/>
      <c r="C7" s="17" t="s">
        <v>43</v>
      </c>
      <c r="D7" s="16"/>
      <c r="E7" s="18" t="s">
        <v>43</v>
      </c>
      <c r="F7" s="16"/>
    </row>
    <row r="8" ht="15.0" customHeight="1">
      <c r="A8" s="15" t="s">
        <v>64</v>
      </c>
      <c r="B8" s="16"/>
      <c r="C8" s="17" t="s">
        <v>43</v>
      </c>
      <c r="D8" s="16"/>
      <c r="E8" s="18" t="s">
        <v>43</v>
      </c>
      <c r="F8" s="16"/>
    </row>
    <row r="9" ht="15.0" customHeight="1">
      <c r="A9" s="15" t="s">
        <v>71</v>
      </c>
      <c r="B9" s="16"/>
      <c r="C9" s="17" t="s">
        <v>43</v>
      </c>
      <c r="D9" s="16"/>
      <c r="E9" s="18" t="s">
        <v>43</v>
      </c>
      <c r="F9" s="16"/>
    </row>
    <row r="10" ht="15.0" customHeight="1">
      <c r="A10" s="15" t="s">
        <v>75</v>
      </c>
      <c r="B10" s="16"/>
      <c r="C10" s="17" t="s">
        <v>43</v>
      </c>
      <c r="D10" s="16"/>
      <c r="E10" s="18" t="s">
        <v>43</v>
      </c>
      <c r="F10" s="16"/>
    </row>
    <row r="11" ht="15.0" customHeight="1">
      <c r="A11" s="15" t="s">
        <v>78</v>
      </c>
      <c r="B11" s="16"/>
      <c r="C11" s="17" t="s">
        <v>80</v>
      </c>
      <c r="D11" s="16"/>
      <c r="E11" s="18" t="s">
        <v>43</v>
      </c>
      <c r="F11" s="16"/>
    </row>
    <row r="12" ht="23.25" customHeight="1">
      <c r="A12" s="15" t="s">
        <v>87</v>
      </c>
      <c r="B12" s="16"/>
      <c r="C12" s="17" t="s">
        <v>80</v>
      </c>
      <c r="D12" s="16"/>
      <c r="E12" s="18" t="s">
        <v>43</v>
      </c>
      <c r="F12" s="16"/>
    </row>
    <row r="13" ht="15.0" customHeight="1">
      <c r="A13" s="15" t="s">
        <v>90</v>
      </c>
      <c r="B13" s="16"/>
      <c r="C13" s="17" t="s">
        <v>80</v>
      </c>
      <c r="D13" s="16"/>
      <c r="E13" s="18" t="s">
        <v>43</v>
      </c>
      <c r="F13" s="16"/>
    </row>
    <row r="14" ht="15.0" customHeight="1">
      <c r="A14" s="15" t="s">
        <v>92</v>
      </c>
      <c r="B14" s="16"/>
      <c r="C14" s="17" t="s">
        <v>80</v>
      </c>
      <c r="D14" s="16"/>
      <c r="E14" s="18" t="s">
        <v>43</v>
      </c>
      <c r="F14" s="16"/>
    </row>
    <row r="15" ht="15.0" customHeight="1">
      <c r="A15" s="15" t="s">
        <v>94</v>
      </c>
      <c r="B15" s="16"/>
      <c r="C15" s="17" t="s">
        <v>80</v>
      </c>
      <c r="D15" s="16"/>
      <c r="E15" s="18" t="s">
        <v>43</v>
      </c>
      <c r="F15" s="16"/>
    </row>
    <row r="18" ht="19.5" customHeight="1">
      <c r="A18" s="6" t="s">
        <v>97</v>
      </c>
      <c r="B18" s="2"/>
      <c r="C18" s="2"/>
      <c r="D18" s="2"/>
      <c r="E18" s="2"/>
      <c r="F18" s="3"/>
    </row>
    <row r="19" ht="27.75" customHeight="1">
      <c r="A19" s="5" t="s">
        <v>9</v>
      </c>
      <c r="B19" s="5" t="s">
        <v>102</v>
      </c>
      <c r="C19" s="5" t="s">
        <v>103</v>
      </c>
      <c r="D19" s="5" t="s">
        <v>105</v>
      </c>
      <c r="E19" s="5" t="s">
        <v>106</v>
      </c>
      <c r="F19" s="5" t="s">
        <v>107</v>
      </c>
    </row>
    <row r="20">
      <c r="A20" s="8" t="s">
        <v>21</v>
      </c>
      <c r="B20" s="12">
        <f t="shared" ref="B20:B27" si="1">D20*5</f>
        <v>875</v>
      </c>
      <c r="C20" s="12">
        <f>B20+250</f>
        <v>1125</v>
      </c>
      <c r="D20" s="10">
        <v>175.0</v>
      </c>
      <c r="E20" s="10">
        <v>160.0</v>
      </c>
      <c r="F20" s="22">
        <v>550.0</v>
      </c>
    </row>
    <row r="21" ht="15.75" customHeight="1">
      <c r="A21" s="8" t="s">
        <v>37</v>
      </c>
      <c r="B21" s="12">
        <f t="shared" si="1"/>
        <v>1125</v>
      </c>
      <c r="C21" s="12">
        <f t="shared" ref="C21:C23" si="2">B21+300</f>
        <v>1425</v>
      </c>
      <c r="D21" s="10">
        <v>225.0</v>
      </c>
      <c r="E21" s="10">
        <v>200.0</v>
      </c>
      <c r="F21" s="22">
        <v>700.0</v>
      </c>
    </row>
    <row r="22" ht="15.75" customHeight="1">
      <c r="A22" s="8" t="s">
        <v>39</v>
      </c>
      <c r="B22" s="12">
        <f t="shared" si="1"/>
        <v>1200</v>
      </c>
      <c r="C22" s="12">
        <f t="shared" si="2"/>
        <v>1500</v>
      </c>
      <c r="D22" s="10">
        <v>240.0</v>
      </c>
      <c r="E22" s="10">
        <v>215.0</v>
      </c>
      <c r="F22" s="22">
        <v>750.0</v>
      </c>
    </row>
    <row r="23" ht="15.75" customHeight="1">
      <c r="A23" s="8" t="s">
        <v>40</v>
      </c>
      <c r="B23" s="12">
        <f t="shared" si="1"/>
        <v>1325</v>
      </c>
      <c r="C23" s="12">
        <f t="shared" si="2"/>
        <v>1625</v>
      </c>
      <c r="D23" s="10">
        <v>265.0</v>
      </c>
      <c r="E23" s="10">
        <v>240.0</v>
      </c>
      <c r="F23" s="22">
        <v>850.0</v>
      </c>
    </row>
    <row r="24" ht="15.75" customHeight="1">
      <c r="A24" s="8" t="s">
        <v>46</v>
      </c>
      <c r="B24" s="12">
        <f t="shared" si="1"/>
        <v>1575</v>
      </c>
      <c r="C24" s="12">
        <f>B24+350</f>
        <v>1925</v>
      </c>
      <c r="D24" s="10">
        <v>315.0</v>
      </c>
      <c r="E24" s="10">
        <v>285.0</v>
      </c>
      <c r="F24" s="22">
        <v>950.0</v>
      </c>
    </row>
    <row r="25" ht="15.75" customHeight="1">
      <c r="A25" s="8" t="s">
        <v>48</v>
      </c>
      <c r="B25" s="12">
        <f t="shared" si="1"/>
        <v>1775</v>
      </c>
      <c r="C25" s="12">
        <f>B25+400</f>
        <v>2175</v>
      </c>
      <c r="D25" s="10">
        <v>355.0</v>
      </c>
      <c r="E25" s="10">
        <v>320.0</v>
      </c>
      <c r="F25" s="22">
        <v>1075.0</v>
      </c>
    </row>
    <row r="26" ht="15.75" customHeight="1">
      <c r="A26" s="8" t="s">
        <v>54</v>
      </c>
      <c r="B26" s="12">
        <f t="shared" si="1"/>
        <v>2150</v>
      </c>
      <c r="C26" s="12">
        <f>B26+450</f>
        <v>2600</v>
      </c>
      <c r="D26" s="10">
        <v>430.0</v>
      </c>
      <c r="E26" s="10">
        <v>385.0</v>
      </c>
      <c r="F26" s="22">
        <v>1300.0</v>
      </c>
    </row>
    <row r="27" ht="15.75" customHeight="1">
      <c r="A27" s="8" t="s">
        <v>59</v>
      </c>
      <c r="B27" s="12">
        <f t="shared" si="1"/>
        <v>2475</v>
      </c>
      <c r="C27" s="12">
        <f>B27+500</f>
        <v>2975</v>
      </c>
      <c r="D27" s="10">
        <v>495.0</v>
      </c>
      <c r="E27" s="10">
        <v>445.0</v>
      </c>
      <c r="F27" s="22">
        <v>1550.0</v>
      </c>
    </row>
    <row r="28" ht="15.75" customHeight="1"/>
    <row r="29" ht="15.75" customHeight="1"/>
    <row r="30" ht="19.5" customHeight="1">
      <c r="A30" s="6" t="s">
        <v>129</v>
      </c>
      <c r="B30" s="2"/>
      <c r="C30" s="2"/>
      <c r="D30" s="2"/>
      <c r="E30" s="2"/>
      <c r="F30" s="3"/>
    </row>
    <row r="31" ht="27.75" customHeight="1">
      <c r="A31" s="5" t="s">
        <v>9</v>
      </c>
      <c r="B31" s="5" t="s">
        <v>130</v>
      </c>
      <c r="C31" s="5" t="s">
        <v>131</v>
      </c>
      <c r="D31" s="5" t="s">
        <v>132</v>
      </c>
      <c r="E31" s="5" t="s">
        <v>16</v>
      </c>
      <c r="F31" s="5"/>
    </row>
    <row r="32" ht="15.75" customHeight="1">
      <c r="A32" s="8" t="str">
        <f t="shared" ref="A32:B32" si="3">A20</f>
        <v>Studio / 1b1b</v>
      </c>
      <c r="B32" s="12">
        <f t="shared" si="3"/>
        <v>875</v>
      </c>
      <c r="C32" s="12">
        <f t="shared" ref="C32:C39" si="5">F20</f>
        <v>550</v>
      </c>
      <c r="D32" s="19">
        <f t="shared" ref="D32:D39" si="6">B32-C32</f>
        <v>325</v>
      </c>
      <c r="E32" s="13">
        <f t="shared" ref="E32:E39" si="7">D32/B32</f>
        <v>0.3714285714</v>
      </c>
      <c r="F32" s="8"/>
    </row>
    <row r="33" ht="15.75" customHeight="1">
      <c r="A33" s="8" t="str">
        <f t="shared" ref="A33:B33" si="4">A21</f>
        <v>2b 1.5b</v>
      </c>
      <c r="B33" s="12">
        <f t="shared" si="4"/>
        <v>1125</v>
      </c>
      <c r="C33" s="12">
        <f t="shared" si="5"/>
        <v>700</v>
      </c>
      <c r="D33" s="19">
        <f t="shared" si="6"/>
        <v>425</v>
      </c>
      <c r="E33" s="13">
        <f t="shared" si="7"/>
        <v>0.3777777778</v>
      </c>
      <c r="F33" s="8"/>
    </row>
    <row r="34" ht="15.75" customHeight="1">
      <c r="A34" s="8" t="str">
        <f t="shared" ref="A34:B34" si="8">A22</f>
        <v>2b 2b</v>
      </c>
      <c r="B34" s="12">
        <f t="shared" si="8"/>
        <v>1200</v>
      </c>
      <c r="C34" s="12">
        <f t="shared" si="5"/>
        <v>750</v>
      </c>
      <c r="D34" s="19">
        <f t="shared" si="6"/>
        <v>450</v>
      </c>
      <c r="E34" s="13">
        <f t="shared" si="7"/>
        <v>0.375</v>
      </c>
      <c r="F34" s="8"/>
    </row>
    <row r="35" ht="15.75" customHeight="1">
      <c r="A35" s="8" t="str">
        <f t="shared" ref="A35:B35" si="9">A23</f>
        <v>3b 2b</v>
      </c>
      <c r="B35" s="12">
        <f t="shared" si="9"/>
        <v>1325</v>
      </c>
      <c r="C35" s="12">
        <f t="shared" si="5"/>
        <v>850</v>
      </c>
      <c r="D35" s="19">
        <f t="shared" si="6"/>
        <v>475</v>
      </c>
      <c r="E35" s="13">
        <f t="shared" si="7"/>
        <v>0.358490566</v>
      </c>
      <c r="F35" s="8"/>
    </row>
    <row r="36" ht="15.75" customHeight="1">
      <c r="A36" s="8" t="str">
        <f t="shared" ref="A36:B36" si="10">A24</f>
        <v>3b 2.5b</v>
      </c>
      <c r="B36" s="12">
        <f t="shared" si="10"/>
        <v>1575</v>
      </c>
      <c r="C36" s="12">
        <f t="shared" si="5"/>
        <v>950</v>
      </c>
      <c r="D36" s="19">
        <f t="shared" si="6"/>
        <v>625</v>
      </c>
      <c r="E36" s="13">
        <f t="shared" si="7"/>
        <v>0.3968253968</v>
      </c>
      <c r="F36" s="8"/>
    </row>
    <row r="37" ht="15.75" customHeight="1">
      <c r="A37" s="8" t="str">
        <f t="shared" ref="A37:B37" si="11">A25</f>
        <v>4b 3b</v>
      </c>
      <c r="B37" s="12">
        <f t="shared" si="11"/>
        <v>1775</v>
      </c>
      <c r="C37" s="12">
        <f t="shared" si="5"/>
        <v>1075</v>
      </c>
      <c r="D37" s="19">
        <f t="shared" si="6"/>
        <v>700</v>
      </c>
      <c r="E37" s="13">
        <f t="shared" si="7"/>
        <v>0.3943661972</v>
      </c>
      <c r="F37" s="8"/>
    </row>
    <row r="38" ht="15.75" customHeight="1">
      <c r="A38" s="8" t="str">
        <f t="shared" ref="A38:B38" si="12">A26</f>
        <v>5b 4b</v>
      </c>
      <c r="B38" s="12">
        <f t="shared" si="12"/>
        <v>2150</v>
      </c>
      <c r="C38" s="12">
        <f t="shared" si="5"/>
        <v>1300</v>
      </c>
      <c r="D38" s="19">
        <f t="shared" si="6"/>
        <v>850</v>
      </c>
      <c r="E38" s="13">
        <f t="shared" si="7"/>
        <v>0.3953488372</v>
      </c>
      <c r="F38" s="8"/>
    </row>
    <row r="39" ht="15.75" customHeight="1">
      <c r="A39" s="8" t="str">
        <f t="shared" ref="A39:B39" si="13">A27</f>
        <v>5b 5b+</v>
      </c>
      <c r="B39" s="12">
        <f t="shared" si="13"/>
        <v>2475</v>
      </c>
      <c r="C39" s="12">
        <f t="shared" si="5"/>
        <v>1550</v>
      </c>
      <c r="D39" s="19">
        <f t="shared" si="6"/>
        <v>925</v>
      </c>
      <c r="E39" s="13">
        <f t="shared" si="7"/>
        <v>0.3737373737</v>
      </c>
      <c r="F39" s="8"/>
    </row>
    <row r="40" ht="15.75" customHeight="1"/>
    <row r="41" ht="15.75" customHeight="1"/>
    <row r="42" ht="19.5" customHeight="1">
      <c r="A42" s="6" t="s">
        <v>133</v>
      </c>
      <c r="B42" s="2"/>
      <c r="C42" s="2"/>
      <c r="D42" s="2"/>
      <c r="E42" s="2"/>
      <c r="F42" s="3"/>
    </row>
    <row r="43" ht="15.0" customHeight="1">
      <c r="A43" s="20" t="s">
        <v>134</v>
      </c>
    </row>
    <row r="44" ht="15.0" customHeight="1">
      <c r="A44" s="20" t="s">
        <v>135</v>
      </c>
    </row>
    <row r="45" ht="15.0" customHeight="1">
      <c r="A45" s="20" t="s">
        <v>136</v>
      </c>
    </row>
    <row r="46" ht="15.0" customHeight="1">
      <c r="A46" s="20" t="s">
        <v>137</v>
      </c>
    </row>
    <row r="47" ht="15.0" customHeight="1">
      <c r="A47" s="20" t="s">
        <v>138</v>
      </c>
    </row>
    <row r="48" ht="15.0" customHeight="1">
      <c r="A48" s="20" t="s">
        <v>139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C7:D7"/>
    <mergeCell ref="E7:F7"/>
    <mergeCell ref="A1:F1"/>
    <mergeCell ref="A2:F2"/>
    <mergeCell ref="A4:F4"/>
    <mergeCell ref="A6:B6"/>
    <mergeCell ref="C6:D6"/>
    <mergeCell ref="E6:F6"/>
    <mergeCell ref="A7:B7"/>
    <mergeCell ref="C10:D10"/>
    <mergeCell ref="E10:F10"/>
    <mergeCell ref="A8:B8"/>
    <mergeCell ref="C8:D8"/>
    <mergeCell ref="E8:F8"/>
    <mergeCell ref="A9:B9"/>
    <mergeCell ref="C9:D9"/>
    <mergeCell ref="E9:F9"/>
    <mergeCell ref="A10:B10"/>
    <mergeCell ref="C13:D13"/>
    <mergeCell ref="E13:F13"/>
    <mergeCell ref="A11:B11"/>
    <mergeCell ref="C11:D11"/>
    <mergeCell ref="E11:F11"/>
    <mergeCell ref="A12:B12"/>
    <mergeCell ref="C12:D12"/>
    <mergeCell ref="E12:F12"/>
    <mergeCell ref="A13:B13"/>
    <mergeCell ref="A30:F30"/>
    <mergeCell ref="A42:F42"/>
    <mergeCell ref="A43:F43"/>
    <mergeCell ref="A44:F44"/>
    <mergeCell ref="A45:F45"/>
    <mergeCell ref="A46:F46"/>
    <mergeCell ref="A47:F47"/>
    <mergeCell ref="A48:F48"/>
    <mergeCell ref="A14:B14"/>
    <mergeCell ref="C14:D14"/>
    <mergeCell ref="E14:F14"/>
    <mergeCell ref="A15:B15"/>
    <mergeCell ref="C15:D15"/>
    <mergeCell ref="E15:F15"/>
    <mergeCell ref="A18:F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4.0"/>
    <col customWidth="1" min="5" max="5" width="16.0"/>
    <col customWidth="1" min="6" max="6" width="22.0"/>
    <col customWidth="1" min="7" max="7" width="10.0"/>
    <col customWidth="1" min="8" max="26" width="8.71"/>
  </cols>
  <sheetData>
    <row r="1" ht="21.75" customHeight="1">
      <c r="A1" s="1" t="s">
        <v>3</v>
      </c>
      <c r="B1" s="2"/>
      <c r="C1" s="2"/>
      <c r="D1" s="2"/>
      <c r="E1" s="2"/>
      <c r="F1" s="2"/>
      <c r="G1" s="3"/>
    </row>
    <row r="3" ht="19.5" customHeight="1">
      <c r="A3" s="11" t="s">
        <v>25</v>
      </c>
      <c r="B3" s="2"/>
      <c r="C3" s="2"/>
      <c r="D3" s="2"/>
      <c r="E3" s="2"/>
      <c r="F3" s="2"/>
      <c r="G3" s="3"/>
    </row>
    <row r="4" ht="27.75" customHeight="1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</row>
    <row r="5">
      <c r="A5" s="8" t="s">
        <v>34</v>
      </c>
      <c r="B5" s="9" t="s">
        <v>35</v>
      </c>
      <c r="C5" s="9" t="s">
        <v>36</v>
      </c>
      <c r="D5" s="10">
        <v>350.0</v>
      </c>
      <c r="E5" s="10">
        <v>200.0</v>
      </c>
      <c r="F5" s="12">
        <f t="shared" ref="F5:F9" si="1">D5-E5</f>
        <v>150</v>
      </c>
      <c r="G5" s="13">
        <f t="shared" ref="G5:G9" si="2">F5/D5</f>
        <v>0.4285714286</v>
      </c>
    </row>
    <row r="6">
      <c r="A6" s="8" t="s">
        <v>42</v>
      </c>
      <c r="B6" s="9" t="s">
        <v>44</v>
      </c>
      <c r="C6" s="9" t="s">
        <v>45</v>
      </c>
      <c r="D6" s="10">
        <v>450.0</v>
      </c>
      <c r="E6" s="10">
        <v>260.0</v>
      </c>
      <c r="F6" s="12">
        <f t="shared" si="1"/>
        <v>190</v>
      </c>
      <c r="G6" s="13">
        <f t="shared" si="2"/>
        <v>0.4222222222</v>
      </c>
    </row>
    <row r="7">
      <c r="A7" s="8" t="s">
        <v>49</v>
      </c>
      <c r="B7" s="9" t="s">
        <v>52</v>
      </c>
      <c r="C7" s="9" t="s">
        <v>53</v>
      </c>
      <c r="D7" s="10">
        <v>595.0</v>
      </c>
      <c r="E7" s="10">
        <v>340.0</v>
      </c>
      <c r="F7" s="12">
        <f t="shared" si="1"/>
        <v>255</v>
      </c>
      <c r="G7" s="13">
        <f t="shared" si="2"/>
        <v>0.4285714286</v>
      </c>
    </row>
    <row r="8">
      <c r="A8" s="8" t="s">
        <v>56</v>
      </c>
      <c r="B8" s="9" t="s">
        <v>57</v>
      </c>
      <c r="C8" s="9" t="s">
        <v>52</v>
      </c>
      <c r="D8" s="10">
        <v>795.0</v>
      </c>
      <c r="E8" s="10">
        <v>450.0</v>
      </c>
      <c r="F8" s="12">
        <f t="shared" si="1"/>
        <v>345</v>
      </c>
      <c r="G8" s="13">
        <f t="shared" si="2"/>
        <v>0.4339622642</v>
      </c>
    </row>
    <row r="9">
      <c r="A9" s="8" t="s">
        <v>61</v>
      </c>
      <c r="B9" s="9" t="s">
        <v>62</v>
      </c>
      <c r="C9" s="9" t="s">
        <v>63</v>
      </c>
      <c r="D9" s="10">
        <v>995.0</v>
      </c>
      <c r="E9" s="10">
        <v>560.0</v>
      </c>
      <c r="F9" s="12">
        <f t="shared" si="1"/>
        <v>435</v>
      </c>
      <c r="G9" s="13">
        <f t="shared" si="2"/>
        <v>0.4371859296</v>
      </c>
    </row>
    <row r="12" ht="19.5" customHeight="1">
      <c r="A12" s="6" t="s">
        <v>65</v>
      </c>
      <c r="B12" s="2"/>
      <c r="C12" s="2"/>
      <c r="D12" s="2"/>
      <c r="E12" s="2"/>
      <c r="F12" s="2"/>
      <c r="G12" s="3"/>
    </row>
    <row r="13" ht="27.75" customHeight="1">
      <c r="A13" s="5" t="s">
        <v>27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20</v>
      </c>
      <c r="G13" s="5"/>
    </row>
    <row r="14">
      <c r="A14" s="8" t="s">
        <v>34</v>
      </c>
      <c r="B14" s="10">
        <v>165.0</v>
      </c>
      <c r="C14" s="10">
        <v>195.0</v>
      </c>
      <c r="D14" s="10">
        <v>225.0</v>
      </c>
      <c r="E14" s="10">
        <v>95.0</v>
      </c>
      <c r="F14" s="9" t="s">
        <v>44</v>
      </c>
      <c r="G14" s="9"/>
    </row>
    <row r="15">
      <c r="A15" s="8" t="s">
        <v>42</v>
      </c>
      <c r="B15" s="10">
        <v>195.0</v>
      </c>
      <c r="C15" s="10">
        <v>235.0</v>
      </c>
      <c r="D15" s="10">
        <v>275.0</v>
      </c>
      <c r="E15" s="10">
        <v>115.0</v>
      </c>
      <c r="F15" s="9" t="s">
        <v>74</v>
      </c>
      <c r="G15" s="9"/>
    </row>
    <row r="16">
      <c r="A16" s="8" t="s">
        <v>49</v>
      </c>
      <c r="B16" s="10">
        <v>245.0</v>
      </c>
      <c r="C16" s="10">
        <v>295.0</v>
      </c>
      <c r="D16" s="10">
        <v>345.0</v>
      </c>
      <c r="E16" s="10">
        <v>145.0</v>
      </c>
      <c r="F16" s="9" t="s">
        <v>76</v>
      </c>
      <c r="G16" s="9"/>
    </row>
    <row r="17">
      <c r="A17" s="8" t="s">
        <v>56</v>
      </c>
      <c r="B17" s="10">
        <v>295.0</v>
      </c>
      <c r="C17" s="10">
        <v>355.0</v>
      </c>
      <c r="D17" s="10">
        <v>415.0</v>
      </c>
      <c r="E17" s="10">
        <v>175.0</v>
      </c>
      <c r="F17" s="9" t="s">
        <v>57</v>
      </c>
      <c r="G17" s="9"/>
    </row>
    <row r="18">
      <c r="A18" s="8" t="s">
        <v>61</v>
      </c>
      <c r="B18" s="10">
        <v>365.0</v>
      </c>
      <c r="C18" s="10">
        <v>435.0</v>
      </c>
      <c r="D18" s="10">
        <v>495.0</v>
      </c>
      <c r="E18" s="10">
        <v>215.0</v>
      </c>
      <c r="F18" s="9" t="s">
        <v>50</v>
      </c>
      <c r="G18" s="9"/>
    </row>
    <row r="21" ht="19.5" customHeight="1">
      <c r="A21" s="6" t="s">
        <v>79</v>
      </c>
      <c r="B21" s="2"/>
      <c r="C21" s="2"/>
      <c r="D21" s="2"/>
      <c r="E21" s="2"/>
      <c r="F21" s="2"/>
      <c r="G21" s="3"/>
    </row>
    <row r="22" ht="27.75" customHeight="1">
      <c r="A22" s="5" t="s">
        <v>27</v>
      </c>
      <c r="B22" s="5" t="s">
        <v>82</v>
      </c>
      <c r="C22" s="5" t="s">
        <v>83</v>
      </c>
      <c r="D22" s="5" t="s">
        <v>84</v>
      </c>
      <c r="E22" s="5" t="s">
        <v>85</v>
      </c>
      <c r="F22" s="5" t="s">
        <v>86</v>
      </c>
      <c r="G22" s="5" t="s">
        <v>33</v>
      </c>
    </row>
    <row r="23" ht="15.75" customHeight="1">
      <c r="A23" s="8" t="s">
        <v>34</v>
      </c>
      <c r="B23" s="10">
        <v>660.0</v>
      </c>
      <c r="C23" s="10">
        <v>390.0</v>
      </c>
      <c r="D23" s="10">
        <v>225.0</v>
      </c>
      <c r="E23" s="10">
        <v>380.0</v>
      </c>
      <c r="F23" s="19">
        <f t="shared" ref="F23:F27" si="3">B23-E23</f>
        <v>280</v>
      </c>
      <c r="G23" s="13">
        <f t="shared" ref="G23:G27" si="4">F23/B23</f>
        <v>0.4242424242</v>
      </c>
    </row>
    <row r="24" ht="15.75" customHeight="1">
      <c r="A24" s="8" t="s">
        <v>42</v>
      </c>
      <c r="B24" s="10">
        <v>780.0</v>
      </c>
      <c r="C24" s="10">
        <v>470.0</v>
      </c>
      <c r="D24" s="10">
        <v>275.0</v>
      </c>
      <c r="E24" s="10">
        <v>460.0</v>
      </c>
      <c r="F24" s="19">
        <f t="shared" si="3"/>
        <v>320</v>
      </c>
      <c r="G24" s="13">
        <f t="shared" si="4"/>
        <v>0.4102564103</v>
      </c>
    </row>
    <row r="25" ht="15.75" customHeight="1">
      <c r="A25" s="8" t="s">
        <v>49</v>
      </c>
      <c r="B25" s="10">
        <v>980.0</v>
      </c>
      <c r="C25" s="10">
        <v>590.0</v>
      </c>
      <c r="D25" s="10">
        <v>345.0</v>
      </c>
      <c r="E25" s="10">
        <v>580.0</v>
      </c>
      <c r="F25" s="19">
        <f t="shared" si="3"/>
        <v>400</v>
      </c>
      <c r="G25" s="13">
        <f t="shared" si="4"/>
        <v>0.4081632653</v>
      </c>
    </row>
    <row r="26" ht="15.75" customHeight="1">
      <c r="A26" s="8" t="s">
        <v>56</v>
      </c>
      <c r="B26" s="10">
        <v>1180.0</v>
      </c>
      <c r="C26" s="10">
        <v>710.0</v>
      </c>
      <c r="D26" s="10">
        <v>415.0</v>
      </c>
      <c r="E26" s="10">
        <v>700.0</v>
      </c>
      <c r="F26" s="19">
        <f t="shared" si="3"/>
        <v>480</v>
      </c>
      <c r="G26" s="13">
        <f t="shared" si="4"/>
        <v>0.406779661</v>
      </c>
    </row>
    <row r="27" ht="15.75" customHeight="1">
      <c r="A27" s="8" t="s">
        <v>61</v>
      </c>
      <c r="B27" s="10">
        <v>1460.0</v>
      </c>
      <c r="C27" s="10">
        <v>870.0</v>
      </c>
      <c r="D27" s="10">
        <v>495.0</v>
      </c>
      <c r="E27" s="10">
        <v>860.0</v>
      </c>
      <c r="F27" s="19">
        <f t="shared" si="3"/>
        <v>600</v>
      </c>
      <c r="G27" s="13">
        <f t="shared" si="4"/>
        <v>0.4109589041</v>
      </c>
    </row>
    <row r="28" ht="15.75" customHeight="1"/>
    <row r="29" ht="15.0" customHeight="1">
      <c r="A29" s="4" t="s">
        <v>99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3:G3"/>
    <mergeCell ref="A12:G12"/>
    <mergeCell ref="A21:G21"/>
    <mergeCell ref="A29:G2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3" width="18.0"/>
    <col customWidth="1" min="4" max="5" width="6.0"/>
    <col customWidth="1" min="6" max="8" width="12.0"/>
    <col customWidth="1" min="9" max="9" width="10.0"/>
    <col customWidth="1" min="10" max="10" width="12.0"/>
    <col customWidth="1" min="11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7</v>
      </c>
    </row>
    <row r="4" ht="27.75" customHeight="1">
      <c r="A4" s="5" t="s">
        <v>6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18</v>
      </c>
      <c r="H4" s="5" t="s">
        <v>15</v>
      </c>
      <c r="I4" s="5" t="s">
        <v>16</v>
      </c>
      <c r="J4" s="5" t="s">
        <v>20</v>
      </c>
    </row>
    <row r="5">
      <c r="A5" s="7">
        <v>1.0</v>
      </c>
      <c r="B5" s="8" t="s">
        <v>21</v>
      </c>
      <c r="C5" s="8" t="s">
        <v>23</v>
      </c>
      <c r="D5" s="9">
        <v>1.0</v>
      </c>
      <c r="E5" s="9">
        <v>1.0</v>
      </c>
      <c r="F5" s="10">
        <v>1095.0</v>
      </c>
      <c r="G5" s="10">
        <v>720.0</v>
      </c>
      <c r="H5" s="12">
        <f t="shared" ref="H5:H12" si="1">F5-G5</f>
        <v>375</v>
      </c>
      <c r="I5" s="13">
        <f t="shared" ref="I5:I12" si="2">H5/F5</f>
        <v>0.3424657534</v>
      </c>
      <c r="J5" s="9" t="s">
        <v>50</v>
      </c>
    </row>
    <row r="6">
      <c r="A6" s="7">
        <v>2.0</v>
      </c>
      <c r="B6" s="8" t="s">
        <v>37</v>
      </c>
      <c r="C6" s="8" t="s">
        <v>38</v>
      </c>
      <c r="D6" s="9">
        <v>2.0</v>
      </c>
      <c r="E6" s="9">
        <v>1.5</v>
      </c>
      <c r="F6" s="10">
        <v>1295.0</v>
      </c>
      <c r="G6" s="10">
        <v>810.0</v>
      </c>
      <c r="H6" s="12">
        <f t="shared" si="1"/>
        <v>485</v>
      </c>
      <c r="I6" s="13">
        <f t="shared" si="2"/>
        <v>0.3745173745</v>
      </c>
      <c r="J6" s="9" t="s">
        <v>66</v>
      </c>
    </row>
    <row r="7">
      <c r="A7" s="7">
        <v>3.0</v>
      </c>
      <c r="B7" s="8" t="s">
        <v>39</v>
      </c>
      <c r="C7" s="8" t="s">
        <v>38</v>
      </c>
      <c r="D7" s="9">
        <v>2.0</v>
      </c>
      <c r="E7" s="9">
        <v>2.0</v>
      </c>
      <c r="F7" s="10">
        <v>1495.0</v>
      </c>
      <c r="G7" s="10">
        <v>900.0</v>
      </c>
      <c r="H7" s="12">
        <f t="shared" si="1"/>
        <v>595</v>
      </c>
      <c r="I7" s="13">
        <f t="shared" si="2"/>
        <v>0.397993311</v>
      </c>
      <c r="J7" s="9" t="s">
        <v>72</v>
      </c>
    </row>
    <row r="8">
      <c r="A8" s="7">
        <v>4.0</v>
      </c>
      <c r="B8" s="8" t="s">
        <v>40</v>
      </c>
      <c r="C8" s="8" t="s">
        <v>41</v>
      </c>
      <c r="D8" s="9">
        <v>3.0</v>
      </c>
      <c r="E8" s="9">
        <v>2.0</v>
      </c>
      <c r="F8" s="10">
        <v>1595.0</v>
      </c>
      <c r="G8" s="10">
        <v>1020.0</v>
      </c>
      <c r="H8" s="12">
        <f t="shared" si="1"/>
        <v>575</v>
      </c>
      <c r="I8" s="13">
        <f t="shared" si="2"/>
        <v>0.3605015674</v>
      </c>
      <c r="J8" s="9" t="s">
        <v>73</v>
      </c>
    </row>
    <row r="9">
      <c r="A9" s="7">
        <v>5.0</v>
      </c>
      <c r="B9" s="8" t="s">
        <v>46</v>
      </c>
      <c r="C9" s="8" t="s">
        <v>47</v>
      </c>
      <c r="D9" s="9">
        <v>3.0</v>
      </c>
      <c r="E9" s="9">
        <v>2.5</v>
      </c>
      <c r="F9" s="10">
        <v>1795.0</v>
      </c>
      <c r="G9" s="10">
        <v>1115.0</v>
      </c>
      <c r="H9" s="12">
        <f t="shared" si="1"/>
        <v>680</v>
      </c>
      <c r="I9" s="13">
        <f t="shared" si="2"/>
        <v>0.3788300836</v>
      </c>
      <c r="J9" s="9" t="s">
        <v>77</v>
      </c>
    </row>
    <row r="10">
      <c r="A10" s="7">
        <v>6.0</v>
      </c>
      <c r="B10" s="8" t="s">
        <v>48</v>
      </c>
      <c r="C10" s="8" t="s">
        <v>51</v>
      </c>
      <c r="D10" s="9">
        <v>4.0</v>
      </c>
      <c r="E10" s="9">
        <v>3.0</v>
      </c>
      <c r="F10" s="10">
        <v>2395.0</v>
      </c>
      <c r="G10" s="10">
        <v>1505.0</v>
      </c>
      <c r="H10" s="12">
        <f t="shared" si="1"/>
        <v>890</v>
      </c>
      <c r="I10" s="13">
        <f t="shared" si="2"/>
        <v>0.3716075157</v>
      </c>
      <c r="J10" s="9" t="s">
        <v>81</v>
      </c>
    </row>
    <row r="11">
      <c r="A11" s="7">
        <v>7.0</v>
      </c>
      <c r="B11" s="8" t="s">
        <v>54</v>
      </c>
      <c r="C11" s="8" t="s">
        <v>55</v>
      </c>
      <c r="D11" s="9">
        <v>5.0</v>
      </c>
      <c r="E11" s="9">
        <v>4.0</v>
      </c>
      <c r="F11" s="10">
        <v>3195.0</v>
      </c>
      <c r="G11" s="10">
        <v>2050.0</v>
      </c>
      <c r="H11" s="12">
        <f t="shared" si="1"/>
        <v>1145</v>
      </c>
      <c r="I11" s="13">
        <f t="shared" si="2"/>
        <v>0.358372457</v>
      </c>
      <c r="J11" s="9" t="s">
        <v>88</v>
      </c>
    </row>
    <row r="12">
      <c r="A12" s="7">
        <v>8.0</v>
      </c>
      <c r="B12" s="8" t="s">
        <v>59</v>
      </c>
      <c r="C12" s="8" t="s">
        <v>60</v>
      </c>
      <c r="D12" s="9">
        <v>5.0</v>
      </c>
      <c r="E12" s="9">
        <v>5.0</v>
      </c>
      <c r="F12" s="10">
        <v>3695.0</v>
      </c>
      <c r="G12" s="10">
        <v>2315.0</v>
      </c>
      <c r="H12" s="12">
        <f t="shared" si="1"/>
        <v>1380</v>
      </c>
      <c r="I12" s="13">
        <f t="shared" si="2"/>
        <v>0.3734776725</v>
      </c>
      <c r="J12" s="9" t="s">
        <v>89</v>
      </c>
    </row>
    <row r="14" ht="19.5" customHeight="1">
      <c r="A14" s="6" t="s">
        <v>91</v>
      </c>
      <c r="B14" s="2"/>
      <c r="C14" s="2"/>
      <c r="D14" s="2"/>
      <c r="E14" s="2"/>
      <c r="F14" s="2"/>
      <c r="G14" s="2"/>
      <c r="H14" s="2"/>
      <c r="I14" s="2"/>
      <c r="J14" s="3"/>
    </row>
    <row r="15" ht="15.0" customHeight="1">
      <c r="A15" s="20" t="s">
        <v>93</v>
      </c>
    </row>
    <row r="16" ht="15.0" customHeight="1">
      <c r="A16" s="20" t="s">
        <v>95</v>
      </c>
    </row>
    <row r="17" ht="15.0" customHeight="1">
      <c r="A17" s="20" t="s">
        <v>96</v>
      </c>
    </row>
    <row r="18" ht="15.0" customHeight="1">
      <c r="A18" s="20" t="s">
        <v>98</v>
      </c>
    </row>
    <row r="19" ht="15.0" customHeight="1">
      <c r="A19" s="20" t="s">
        <v>100</v>
      </c>
    </row>
    <row r="20" ht="15.0" customHeight="1">
      <c r="A20" s="20" t="s">
        <v>101</v>
      </c>
    </row>
    <row r="21" ht="15.0" customHeight="1">
      <c r="A21" s="20" t="s">
        <v>104</v>
      </c>
    </row>
    <row r="22" ht="15.0" customHeight="1">
      <c r="A22" s="20" t="s">
        <v>108</v>
      </c>
    </row>
    <row r="23" ht="15.0" customHeight="1">
      <c r="A23" s="20" t="s">
        <v>109</v>
      </c>
    </row>
    <row r="24" ht="15.0" customHeight="1">
      <c r="A24" s="20" t="s">
        <v>110</v>
      </c>
    </row>
    <row r="25" ht="15.0" customHeight="1">
      <c r="A25" s="20" t="s">
        <v>111</v>
      </c>
    </row>
    <row r="26" ht="15.0" customHeight="1">
      <c r="A26" s="20" t="s">
        <v>112</v>
      </c>
    </row>
    <row r="27" ht="15.0" customHeight="1">
      <c r="A27" s="20" t="s">
        <v>113</v>
      </c>
    </row>
    <row r="28" ht="15.0" customHeight="1">
      <c r="A28" s="20" t="s">
        <v>114</v>
      </c>
    </row>
    <row r="29" ht="15.75" customHeight="1"/>
    <row r="30" ht="19.5" customHeight="1">
      <c r="A30" s="6" t="s">
        <v>115</v>
      </c>
      <c r="B30" s="2"/>
      <c r="C30" s="2"/>
      <c r="D30" s="2"/>
      <c r="E30" s="2"/>
      <c r="F30" s="2"/>
      <c r="G30" s="2"/>
      <c r="H30" s="2"/>
      <c r="I30" s="2"/>
      <c r="J30" s="3"/>
    </row>
    <row r="31" ht="15.0" customHeight="1">
      <c r="A31" s="21" t="s">
        <v>116</v>
      </c>
    </row>
    <row r="32" ht="15.0" customHeight="1">
      <c r="A32" s="21" t="s">
        <v>117</v>
      </c>
    </row>
    <row r="33" ht="15.0" customHeight="1">
      <c r="A33" s="21" t="s">
        <v>118</v>
      </c>
    </row>
    <row r="34" ht="15.0" customHeight="1">
      <c r="A34" s="21" t="s">
        <v>119</v>
      </c>
    </row>
    <row r="35" ht="15.0" customHeight="1">
      <c r="A35" s="21" t="s">
        <v>120</v>
      </c>
    </row>
    <row r="36" ht="15.0" customHeight="1">
      <c r="A36" s="21" t="s">
        <v>121</v>
      </c>
    </row>
    <row r="37" ht="15.0" customHeight="1">
      <c r="A37" s="21" t="s">
        <v>122</v>
      </c>
    </row>
    <row r="38" ht="15.0" customHeight="1">
      <c r="A38" s="21" t="s">
        <v>123</v>
      </c>
    </row>
    <row r="39" ht="15.0" customHeight="1">
      <c r="A39" s="21" t="s">
        <v>124</v>
      </c>
    </row>
    <row r="40" ht="15.75" customHeight="1"/>
    <row r="41" ht="19.5" customHeight="1">
      <c r="A41" s="6" t="s">
        <v>125</v>
      </c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21" t="s">
        <v>126</v>
      </c>
    </row>
    <row r="43" ht="15.0" customHeight="1">
      <c r="A43" s="21" t="s">
        <v>127</v>
      </c>
    </row>
    <row r="44" ht="15.0" customHeight="1">
      <c r="A44" s="21" t="s">
        <v>128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J1"/>
    <mergeCell ref="A2:J2"/>
    <mergeCell ref="A14:J14"/>
    <mergeCell ref="A15:J15"/>
    <mergeCell ref="A16:J16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  <mergeCell ref="A30:J30"/>
    <mergeCell ref="A31:J31"/>
    <mergeCell ref="A32:J32"/>
    <mergeCell ref="A33:J33"/>
    <mergeCell ref="A42:J42"/>
    <mergeCell ref="A43:J43"/>
    <mergeCell ref="A44:J44"/>
    <mergeCell ref="A34:J34"/>
    <mergeCell ref="A35:J35"/>
    <mergeCell ref="A36:J36"/>
    <mergeCell ref="A37:J37"/>
    <mergeCell ref="A38:J38"/>
    <mergeCell ref="A39:J39"/>
    <mergeCell ref="A41:J4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4.0"/>
    <col customWidth="1" min="4" max="4" width="36.0"/>
    <col customWidth="1" min="5" max="6" width="8.0"/>
    <col customWidth="1" min="7" max="7" width="12.0"/>
    <col customWidth="1" min="8" max="26" width="8.71"/>
  </cols>
  <sheetData>
    <row r="1" ht="21.75" customHeight="1">
      <c r="A1" s="1" t="s">
        <v>140</v>
      </c>
      <c r="B1" s="2"/>
      <c r="C1" s="2"/>
      <c r="D1" s="2"/>
      <c r="E1" s="2"/>
      <c r="F1" s="2"/>
      <c r="G1" s="3"/>
    </row>
    <row r="3" ht="19.5" customHeight="1">
      <c r="A3" s="6" t="s">
        <v>141</v>
      </c>
      <c r="B3" s="2"/>
      <c r="C3" s="2"/>
      <c r="D3" s="2"/>
      <c r="E3" s="2"/>
      <c r="F3" s="2"/>
      <c r="G3" s="3"/>
    </row>
    <row r="4" ht="27.75" customHeight="1">
      <c r="A4" s="5" t="s">
        <v>142</v>
      </c>
      <c r="B4" s="5" t="s">
        <v>143</v>
      </c>
      <c r="C4" s="5" t="s">
        <v>30</v>
      </c>
      <c r="D4" s="5" t="s">
        <v>144</v>
      </c>
      <c r="E4" s="5" t="s">
        <v>32</v>
      </c>
      <c r="F4" s="5" t="s">
        <v>33</v>
      </c>
      <c r="G4" s="5" t="s">
        <v>20</v>
      </c>
    </row>
    <row r="5">
      <c r="A5" s="8" t="s">
        <v>145</v>
      </c>
      <c r="B5" s="9" t="s">
        <v>146</v>
      </c>
      <c r="C5" s="10">
        <v>295.0</v>
      </c>
      <c r="D5" s="10">
        <v>165.0</v>
      </c>
      <c r="E5" s="12">
        <f t="shared" ref="E5:E9" si="1">C5-D5</f>
        <v>130</v>
      </c>
      <c r="F5" s="13">
        <f t="shared" ref="F5:F9" si="2">E5/C5</f>
        <v>0.4406779661</v>
      </c>
      <c r="G5" s="9" t="s">
        <v>52</v>
      </c>
    </row>
    <row r="6">
      <c r="A6" s="8" t="s">
        <v>147</v>
      </c>
      <c r="B6" s="9" t="s">
        <v>38</v>
      </c>
      <c r="C6" s="10">
        <v>425.0</v>
      </c>
      <c r="D6" s="10">
        <v>240.0</v>
      </c>
      <c r="E6" s="12">
        <f t="shared" si="1"/>
        <v>185</v>
      </c>
      <c r="F6" s="13">
        <f t="shared" si="2"/>
        <v>0.4352941176</v>
      </c>
      <c r="G6" s="9" t="s">
        <v>57</v>
      </c>
    </row>
    <row r="7">
      <c r="A7" s="8" t="s">
        <v>148</v>
      </c>
      <c r="B7" s="9" t="s">
        <v>41</v>
      </c>
      <c r="C7" s="10">
        <v>545.0</v>
      </c>
      <c r="D7" s="10">
        <v>310.0</v>
      </c>
      <c r="E7" s="12">
        <f t="shared" si="1"/>
        <v>235</v>
      </c>
      <c r="F7" s="13">
        <f t="shared" si="2"/>
        <v>0.4311926606</v>
      </c>
      <c r="G7" s="9" t="s">
        <v>50</v>
      </c>
    </row>
    <row r="8">
      <c r="A8" s="8" t="s">
        <v>149</v>
      </c>
      <c r="B8" s="9" t="s">
        <v>150</v>
      </c>
      <c r="C8" s="10">
        <v>695.0</v>
      </c>
      <c r="D8" s="10">
        <v>395.0</v>
      </c>
      <c r="E8" s="12">
        <f t="shared" si="1"/>
        <v>300</v>
      </c>
      <c r="F8" s="13">
        <f t="shared" si="2"/>
        <v>0.4316546763</v>
      </c>
      <c r="G8" s="9" t="s">
        <v>152</v>
      </c>
    </row>
    <row r="9">
      <c r="A9" s="8" t="s">
        <v>153</v>
      </c>
      <c r="B9" s="9" t="s">
        <v>154</v>
      </c>
      <c r="C9" s="10">
        <v>895.0</v>
      </c>
      <c r="D9" s="10">
        <v>510.0</v>
      </c>
      <c r="E9" s="12">
        <f t="shared" si="1"/>
        <v>385</v>
      </c>
      <c r="F9" s="13">
        <f t="shared" si="2"/>
        <v>0.4301675978</v>
      </c>
      <c r="G9" s="9" t="s">
        <v>156</v>
      </c>
    </row>
    <row r="12" ht="19.5" customHeight="1">
      <c r="A12" s="6" t="s">
        <v>157</v>
      </c>
      <c r="B12" s="2"/>
      <c r="C12" s="2"/>
      <c r="D12" s="2"/>
      <c r="E12" s="2"/>
      <c r="F12" s="2"/>
      <c r="G12" s="3"/>
    </row>
    <row r="13" ht="27.75" customHeight="1">
      <c r="A13" s="5" t="s">
        <v>142</v>
      </c>
      <c r="B13" s="5" t="s">
        <v>143</v>
      </c>
      <c r="C13" s="5" t="s">
        <v>30</v>
      </c>
      <c r="D13" s="5" t="s">
        <v>144</v>
      </c>
      <c r="E13" s="5" t="s">
        <v>32</v>
      </c>
      <c r="F13" s="5" t="s">
        <v>33</v>
      </c>
      <c r="G13" s="5" t="s">
        <v>20</v>
      </c>
    </row>
    <row r="14">
      <c r="A14" s="8" t="s">
        <v>162</v>
      </c>
      <c r="B14" s="9" t="s">
        <v>163</v>
      </c>
      <c r="C14" s="10">
        <v>495.0</v>
      </c>
      <c r="D14" s="10">
        <v>280.0</v>
      </c>
      <c r="E14" s="12">
        <f t="shared" ref="E14:E18" si="3">C14-D14</f>
        <v>215</v>
      </c>
      <c r="F14" s="13">
        <f t="shared" ref="F14:F18" si="4">E14/C14</f>
        <v>0.4343434343</v>
      </c>
      <c r="G14" s="9" t="s">
        <v>50</v>
      </c>
    </row>
    <row r="15">
      <c r="A15" s="8" t="s">
        <v>165</v>
      </c>
      <c r="B15" s="9" t="s">
        <v>167</v>
      </c>
      <c r="C15" s="10">
        <v>695.0</v>
      </c>
      <c r="D15" s="10">
        <v>400.0</v>
      </c>
      <c r="E15" s="12">
        <f t="shared" si="3"/>
        <v>295</v>
      </c>
      <c r="F15" s="13">
        <f t="shared" si="4"/>
        <v>0.4244604317</v>
      </c>
      <c r="G15" s="9" t="s">
        <v>152</v>
      </c>
    </row>
    <row r="16">
      <c r="A16" s="8" t="s">
        <v>169</v>
      </c>
      <c r="B16" s="9" t="s">
        <v>170</v>
      </c>
      <c r="C16" s="10">
        <v>895.0</v>
      </c>
      <c r="D16" s="10">
        <v>510.0</v>
      </c>
      <c r="E16" s="12">
        <f t="shared" si="3"/>
        <v>385</v>
      </c>
      <c r="F16" s="13">
        <f t="shared" si="4"/>
        <v>0.4301675978</v>
      </c>
      <c r="G16" s="9" t="s">
        <v>156</v>
      </c>
    </row>
    <row r="17">
      <c r="A17" s="8" t="s">
        <v>175</v>
      </c>
      <c r="B17" s="9" t="s">
        <v>154</v>
      </c>
      <c r="C17" s="10">
        <v>1195.0</v>
      </c>
      <c r="D17" s="10">
        <v>680.0</v>
      </c>
      <c r="E17" s="12">
        <f t="shared" si="3"/>
        <v>515</v>
      </c>
      <c r="F17" s="13">
        <f t="shared" si="4"/>
        <v>0.4309623431</v>
      </c>
      <c r="G17" s="9" t="s">
        <v>180</v>
      </c>
    </row>
    <row r="18">
      <c r="A18" s="8" t="s">
        <v>182</v>
      </c>
      <c r="B18" s="9" t="s">
        <v>184</v>
      </c>
      <c r="C18" s="10">
        <v>1495.0</v>
      </c>
      <c r="D18" s="10">
        <v>850.0</v>
      </c>
      <c r="E18" s="12">
        <f t="shared" si="3"/>
        <v>645</v>
      </c>
      <c r="F18" s="13">
        <f t="shared" si="4"/>
        <v>0.4314381271</v>
      </c>
      <c r="G18" s="9" t="s">
        <v>186</v>
      </c>
    </row>
    <row r="21" ht="19.5" customHeight="1">
      <c r="A21" s="6" t="s">
        <v>188</v>
      </c>
      <c r="B21" s="2"/>
      <c r="C21" s="2"/>
      <c r="D21" s="2"/>
      <c r="E21" s="2"/>
      <c r="F21" s="2"/>
      <c r="G21" s="3"/>
    </row>
    <row r="22" ht="27.75" customHeight="1">
      <c r="A22" s="5" t="s">
        <v>142</v>
      </c>
      <c r="B22" s="5" t="s">
        <v>143</v>
      </c>
      <c r="C22" s="5" t="s">
        <v>30</v>
      </c>
      <c r="D22" s="5" t="s">
        <v>144</v>
      </c>
      <c r="E22" s="5" t="s">
        <v>32</v>
      </c>
      <c r="F22" s="5" t="s">
        <v>33</v>
      </c>
      <c r="G22" s="5" t="s">
        <v>20</v>
      </c>
    </row>
    <row r="23" ht="15.75" customHeight="1">
      <c r="A23" s="8" t="s">
        <v>195</v>
      </c>
      <c r="B23" s="9" t="s">
        <v>196</v>
      </c>
      <c r="C23" s="10">
        <v>495.0</v>
      </c>
      <c r="D23" s="10">
        <v>280.0</v>
      </c>
      <c r="E23" s="12">
        <f t="shared" ref="E23:E27" si="5">C23-D23</f>
        <v>215</v>
      </c>
      <c r="F23" s="13">
        <f t="shared" ref="F23:F27" si="6">E23/C23</f>
        <v>0.4343434343</v>
      </c>
      <c r="G23" s="9" t="s">
        <v>50</v>
      </c>
    </row>
    <row r="24" ht="15.75" customHeight="1">
      <c r="A24" s="8" t="s">
        <v>203</v>
      </c>
      <c r="B24" s="9" t="s">
        <v>204</v>
      </c>
      <c r="C24" s="10">
        <v>895.0</v>
      </c>
      <c r="D24" s="10">
        <v>510.0</v>
      </c>
      <c r="E24" s="12">
        <f t="shared" si="5"/>
        <v>385</v>
      </c>
      <c r="F24" s="13">
        <f t="shared" si="6"/>
        <v>0.4301675978</v>
      </c>
      <c r="G24" s="9" t="s">
        <v>156</v>
      </c>
    </row>
    <row r="25" ht="15.75" customHeight="1">
      <c r="A25" s="8" t="s">
        <v>215</v>
      </c>
      <c r="B25" s="9" t="s">
        <v>216</v>
      </c>
      <c r="C25" s="10">
        <v>1495.0</v>
      </c>
      <c r="D25" s="10">
        <v>850.0</v>
      </c>
      <c r="E25" s="12">
        <f t="shared" si="5"/>
        <v>645</v>
      </c>
      <c r="F25" s="13">
        <f t="shared" si="6"/>
        <v>0.4314381271</v>
      </c>
      <c r="G25" s="9" t="s">
        <v>225</v>
      </c>
    </row>
    <row r="26" ht="15.75" customHeight="1">
      <c r="A26" s="8" t="s">
        <v>226</v>
      </c>
      <c r="B26" s="9" t="s">
        <v>227</v>
      </c>
      <c r="C26" s="10">
        <v>1995.0</v>
      </c>
      <c r="D26" s="10">
        <v>1100.0</v>
      </c>
      <c r="E26" s="12">
        <f t="shared" si="5"/>
        <v>895</v>
      </c>
      <c r="F26" s="13">
        <f t="shared" si="6"/>
        <v>0.4486215539</v>
      </c>
      <c r="G26" s="9" t="s">
        <v>230</v>
      </c>
    </row>
    <row r="27" ht="15.75" customHeight="1">
      <c r="A27" s="8" t="s">
        <v>232</v>
      </c>
      <c r="B27" s="9" t="s">
        <v>60</v>
      </c>
      <c r="C27" s="10">
        <v>2495.0</v>
      </c>
      <c r="D27" s="10">
        <v>1400.0</v>
      </c>
      <c r="E27" s="12">
        <f t="shared" si="5"/>
        <v>1095</v>
      </c>
      <c r="F27" s="13">
        <f t="shared" si="6"/>
        <v>0.4388777555</v>
      </c>
      <c r="G27" s="9" t="s">
        <v>236</v>
      </c>
    </row>
    <row r="28" ht="15.75" customHeight="1"/>
    <row r="29" ht="15.75" customHeight="1"/>
    <row r="30" ht="19.5" customHeight="1">
      <c r="A30" s="6" t="s">
        <v>241</v>
      </c>
      <c r="B30" s="2"/>
      <c r="C30" s="2"/>
      <c r="D30" s="2"/>
      <c r="E30" s="2"/>
      <c r="F30" s="2"/>
      <c r="G30" s="3"/>
    </row>
    <row r="31" ht="27.75" customHeight="1">
      <c r="A31" s="5" t="s">
        <v>246</v>
      </c>
      <c r="B31" s="5"/>
      <c r="C31" s="5" t="s">
        <v>30</v>
      </c>
      <c r="D31" s="5" t="s">
        <v>252</v>
      </c>
      <c r="E31" s="5"/>
      <c r="F31" s="5"/>
      <c r="G31" s="5"/>
    </row>
    <row r="32" ht="23.25" customHeight="1">
      <c r="A32" s="31" t="s">
        <v>256</v>
      </c>
      <c r="B32" s="25"/>
      <c r="C32" s="32">
        <v>895.0</v>
      </c>
      <c r="D32" s="27" t="s">
        <v>267</v>
      </c>
      <c r="E32" s="8"/>
      <c r="F32" s="8"/>
      <c r="G32" s="8"/>
    </row>
    <row r="33" ht="23.25" customHeight="1">
      <c r="A33" s="31" t="s">
        <v>270</v>
      </c>
      <c r="B33" s="25"/>
      <c r="C33" s="32">
        <v>1195.0</v>
      </c>
      <c r="D33" s="27" t="s">
        <v>274</v>
      </c>
      <c r="E33" s="8"/>
      <c r="F33" s="8"/>
      <c r="G33" s="8"/>
    </row>
    <row r="34" ht="15.75" customHeight="1">
      <c r="A34" s="33"/>
    </row>
    <row r="35" ht="15.0" customHeight="1">
      <c r="A35" s="34" t="s">
        <v>279</v>
      </c>
      <c r="B35" s="25"/>
      <c r="C35" s="35"/>
      <c r="D35" s="27"/>
      <c r="E35" s="8"/>
      <c r="F35" s="8"/>
      <c r="G35" s="8"/>
    </row>
    <row r="36" ht="23.25" customHeight="1">
      <c r="A36" s="15" t="s">
        <v>289</v>
      </c>
      <c r="B36" s="24"/>
      <c r="C36" s="36" t="s">
        <v>43</v>
      </c>
      <c r="D36" s="27" t="s">
        <v>300</v>
      </c>
      <c r="E36" s="8"/>
      <c r="F36" s="8"/>
      <c r="G36" s="8"/>
    </row>
    <row r="37" ht="23.25" customHeight="1">
      <c r="A37" s="15" t="s">
        <v>301</v>
      </c>
      <c r="B37" s="24"/>
      <c r="C37" s="36" t="s">
        <v>43</v>
      </c>
      <c r="D37" s="27" t="s">
        <v>302</v>
      </c>
      <c r="E37" s="8"/>
      <c r="F37" s="8"/>
      <c r="G37" s="8"/>
    </row>
    <row r="38" ht="23.25" customHeight="1">
      <c r="A38" s="15" t="s">
        <v>303</v>
      </c>
      <c r="B38" s="24"/>
      <c r="C38" s="36" t="s">
        <v>43</v>
      </c>
      <c r="D38" s="27" t="s">
        <v>304</v>
      </c>
      <c r="E38" s="8"/>
      <c r="F38" s="8"/>
      <c r="G38" s="8"/>
    </row>
    <row r="39" ht="23.25" customHeight="1">
      <c r="A39" s="15" t="s">
        <v>305</v>
      </c>
      <c r="B39" s="24"/>
      <c r="C39" s="36" t="s">
        <v>43</v>
      </c>
      <c r="D39" s="27" t="s">
        <v>306</v>
      </c>
      <c r="E39" s="8"/>
      <c r="F39" s="8"/>
      <c r="G39" s="8"/>
    </row>
    <row r="40" ht="23.25" customHeight="1">
      <c r="A40" s="15" t="s">
        <v>307</v>
      </c>
      <c r="B40" s="24"/>
      <c r="C40" s="36" t="s">
        <v>43</v>
      </c>
      <c r="D40" s="27" t="s">
        <v>308</v>
      </c>
      <c r="E40" s="8"/>
      <c r="F40" s="8"/>
      <c r="G40" s="8"/>
    </row>
    <row r="41" ht="15.75" customHeight="1">
      <c r="A41" s="33"/>
    </row>
    <row r="42" ht="23.25" customHeight="1">
      <c r="A42" s="34" t="s">
        <v>309</v>
      </c>
      <c r="B42" s="25"/>
      <c r="C42" s="35"/>
      <c r="D42" s="27"/>
      <c r="E42" s="8"/>
      <c r="F42" s="8"/>
      <c r="G42" s="8"/>
    </row>
    <row r="43" ht="23.25" customHeight="1">
      <c r="A43" s="15" t="s">
        <v>310</v>
      </c>
      <c r="B43" s="24"/>
      <c r="C43" s="29" t="s">
        <v>311</v>
      </c>
      <c r="D43" s="27" t="s">
        <v>312</v>
      </c>
      <c r="E43" s="8"/>
      <c r="F43" s="8"/>
      <c r="G43" s="8"/>
    </row>
    <row r="44" ht="23.25" customHeight="1">
      <c r="A44" s="15" t="s">
        <v>313</v>
      </c>
      <c r="B44" s="24"/>
      <c r="C44" s="29" t="s">
        <v>314</v>
      </c>
      <c r="D44" s="27" t="s">
        <v>315</v>
      </c>
      <c r="E44" s="8"/>
      <c r="F44" s="8"/>
      <c r="G44" s="8"/>
    </row>
    <row r="45" ht="23.25" customHeight="1">
      <c r="A45" s="15" t="s">
        <v>316</v>
      </c>
      <c r="B45" s="24"/>
      <c r="C45" s="29" t="s">
        <v>314</v>
      </c>
      <c r="D45" s="27" t="s">
        <v>317</v>
      </c>
      <c r="E45" s="8"/>
      <c r="F45" s="8"/>
      <c r="G45" s="8"/>
    </row>
    <row r="46" ht="15.75" customHeight="1"/>
    <row r="47" ht="15.75" customHeight="1"/>
    <row r="48" ht="19.5" customHeight="1">
      <c r="A48" s="6" t="s">
        <v>318</v>
      </c>
      <c r="B48" s="2"/>
      <c r="C48" s="2"/>
      <c r="D48" s="2"/>
      <c r="E48" s="2"/>
      <c r="F48" s="2"/>
      <c r="G48" s="3"/>
    </row>
    <row r="49" ht="27.75" customHeight="1">
      <c r="A49" s="5" t="s">
        <v>197</v>
      </c>
      <c r="B49" s="5"/>
      <c r="C49" s="5" t="s">
        <v>30</v>
      </c>
      <c r="D49" s="5" t="s">
        <v>319</v>
      </c>
      <c r="E49" s="5"/>
      <c r="F49" s="5"/>
      <c r="G49" s="5"/>
    </row>
    <row r="50" ht="15.0" customHeight="1">
      <c r="A50" s="15" t="s">
        <v>320</v>
      </c>
      <c r="B50" s="24"/>
      <c r="C50" s="10">
        <v>50.0</v>
      </c>
      <c r="D50" s="27" t="s">
        <v>321</v>
      </c>
      <c r="E50" s="8"/>
      <c r="F50" s="8"/>
      <c r="G50" s="8"/>
    </row>
    <row r="51" ht="15.0" customHeight="1">
      <c r="A51" s="15" t="s">
        <v>322</v>
      </c>
      <c r="B51" s="24"/>
      <c r="C51" s="29" t="s">
        <v>323</v>
      </c>
      <c r="D51" s="27" t="s">
        <v>324</v>
      </c>
      <c r="E51" s="8"/>
      <c r="F51" s="8"/>
      <c r="G51" s="8"/>
    </row>
    <row r="52" ht="15.0" customHeight="1">
      <c r="A52" s="15" t="s">
        <v>325</v>
      </c>
      <c r="B52" s="24"/>
      <c r="C52" s="10">
        <v>75.0</v>
      </c>
      <c r="D52" s="27" t="s">
        <v>326</v>
      </c>
      <c r="E52" s="8"/>
      <c r="F52" s="8"/>
      <c r="G52" s="8"/>
    </row>
    <row r="53" ht="15.0" customHeight="1">
      <c r="A53" s="15" t="s">
        <v>327</v>
      </c>
      <c r="B53" s="24"/>
      <c r="C53" s="29" t="s">
        <v>323</v>
      </c>
      <c r="D53" s="27" t="s">
        <v>328</v>
      </c>
      <c r="E53" s="8"/>
      <c r="F53" s="8"/>
      <c r="G53" s="8"/>
    </row>
    <row r="54" ht="15.0" customHeight="1">
      <c r="A54" s="15" t="s">
        <v>329</v>
      </c>
      <c r="B54" s="24"/>
      <c r="C54" s="10">
        <v>50.0</v>
      </c>
      <c r="D54" s="27" t="s">
        <v>330</v>
      </c>
      <c r="E54" s="8"/>
      <c r="F54" s="8"/>
      <c r="G54" s="8"/>
    </row>
    <row r="55" ht="15.0" customHeight="1">
      <c r="A55" s="15" t="s">
        <v>331</v>
      </c>
      <c r="B55" s="24"/>
      <c r="C55" s="10">
        <v>100.0</v>
      </c>
      <c r="D55" s="27" t="s">
        <v>332</v>
      </c>
      <c r="E55" s="8"/>
      <c r="F55" s="8"/>
      <c r="G55" s="8"/>
    </row>
    <row r="56" ht="15.0" customHeight="1">
      <c r="A56" s="15" t="s">
        <v>333</v>
      </c>
      <c r="B56" s="24"/>
      <c r="C56" s="29" t="s">
        <v>323</v>
      </c>
      <c r="D56" s="27" t="s">
        <v>334</v>
      </c>
      <c r="E56" s="8"/>
      <c r="F56" s="8"/>
      <c r="G56" s="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G1"/>
    <mergeCell ref="A3:G3"/>
    <mergeCell ref="A12:G12"/>
    <mergeCell ref="A21:G21"/>
    <mergeCell ref="A30:G30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1:B51"/>
    <mergeCell ref="A52:B52"/>
    <mergeCell ref="A53:B53"/>
    <mergeCell ref="A54:B54"/>
    <mergeCell ref="A55:B55"/>
    <mergeCell ref="A56:B56"/>
    <mergeCell ref="A41:B41"/>
    <mergeCell ref="A42:B42"/>
    <mergeCell ref="A43:B43"/>
    <mergeCell ref="A44:B44"/>
    <mergeCell ref="A45:B45"/>
    <mergeCell ref="A48:G48"/>
    <mergeCell ref="A50:B5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6.0"/>
    <col customWidth="1" min="3" max="3" width="22.0"/>
    <col customWidth="1" min="4" max="4" width="50.0"/>
    <col customWidth="1" min="5" max="26" width="8.71"/>
  </cols>
  <sheetData>
    <row r="1" ht="21.75" customHeight="1">
      <c r="A1" s="1" t="s">
        <v>151</v>
      </c>
      <c r="B1" s="2"/>
      <c r="C1" s="2"/>
      <c r="D1" s="3"/>
    </row>
    <row r="2" ht="15.0" customHeight="1">
      <c r="A2" s="4" t="s">
        <v>155</v>
      </c>
    </row>
    <row r="4" ht="27.75" customHeight="1">
      <c r="A4" s="5" t="s">
        <v>158</v>
      </c>
      <c r="B4" s="5" t="s">
        <v>30</v>
      </c>
      <c r="C4" s="5" t="s">
        <v>159</v>
      </c>
      <c r="D4" s="5" t="s">
        <v>160</v>
      </c>
    </row>
    <row r="5" ht="19.5" customHeight="1">
      <c r="A5" s="23" t="s">
        <v>161</v>
      </c>
      <c r="B5" s="24"/>
      <c r="C5" s="24"/>
      <c r="D5" s="25"/>
    </row>
    <row r="6">
      <c r="A6" s="8" t="s">
        <v>164</v>
      </c>
      <c r="B6" s="10">
        <v>30.0</v>
      </c>
      <c r="C6" s="26" t="s">
        <v>166</v>
      </c>
      <c r="D6" s="27" t="s">
        <v>168</v>
      </c>
    </row>
    <row r="7">
      <c r="A7" s="8" t="s">
        <v>171</v>
      </c>
      <c r="B7" s="10">
        <v>30.0</v>
      </c>
      <c r="C7" s="26" t="s">
        <v>166</v>
      </c>
      <c r="D7" s="27" t="s">
        <v>172</v>
      </c>
    </row>
    <row r="8">
      <c r="A8" s="8" t="s">
        <v>173</v>
      </c>
      <c r="B8" s="10">
        <v>15.0</v>
      </c>
      <c r="C8" s="26" t="s">
        <v>166</v>
      </c>
      <c r="D8" s="27" t="s">
        <v>174</v>
      </c>
    </row>
    <row r="9">
      <c r="A9" s="8" t="s">
        <v>176</v>
      </c>
      <c r="B9" s="10">
        <v>0.0</v>
      </c>
      <c r="C9" s="26" t="s">
        <v>177</v>
      </c>
      <c r="D9" s="27" t="s">
        <v>178</v>
      </c>
    </row>
    <row r="10">
      <c r="A10" s="8" t="s">
        <v>179</v>
      </c>
      <c r="B10" s="10">
        <v>15.0</v>
      </c>
      <c r="C10" s="26" t="s">
        <v>181</v>
      </c>
      <c r="D10" s="27" t="s">
        <v>183</v>
      </c>
    </row>
    <row r="11" ht="19.5" customHeight="1">
      <c r="A11" s="23" t="s">
        <v>185</v>
      </c>
      <c r="B11" s="24"/>
      <c r="C11" s="24"/>
      <c r="D11" s="25"/>
    </row>
    <row r="12">
      <c r="A12" s="8" t="s">
        <v>187</v>
      </c>
      <c r="B12" s="10">
        <v>30.0</v>
      </c>
      <c r="C12" s="26" t="s">
        <v>166</v>
      </c>
      <c r="D12" s="27" t="s">
        <v>189</v>
      </c>
    </row>
    <row r="13">
      <c r="A13" s="8" t="s">
        <v>190</v>
      </c>
      <c r="B13" s="10">
        <v>30.0</v>
      </c>
      <c r="C13" s="26" t="s">
        <v>166</v>
      </c>
      <c r="D13" s="27" t="s">
        <v>192</v>
      </c>
    </row>
    <row r="14" ht="19.5" customHeight="1">
      <c r="A14" s="23" t="s">
        <v>193</v>
      </c>
      <c r="B14" s="24"/>
      <c r="C14" s="24"/>
      <c r="D14" s="25"/>
    </row>
    <row r="15">
      <c r="A15" s="8" t="s">
        <v>210</v>
      </c>
      <c r="B15" s="10">
        <v>25.0</v>
      </c>
      <c r="C15" s="26" t="s">
        <v>212</v>
      </c>
      <c r="D15" s="27" t="s">
        <v>214</v>
      </c>
    </row>
    <row r="16">
      <c r="A16" s="8" t="s">
        <v>217</v>
      </c>
      <c r="B16" s="10">
        <v>20.0</v>
      </c>
      <c r="C16" s="26" t="s">
        <v>220</v>
      </c>
      <c r="D16" s="27" t="s">
        <v>221</v>
      </c>
    </row>
    <row r="17" ht="19.5" customHeight="1">
      <c r="A17" s="23" t="s">
        <v>224</v>
      </c>
      <c r="B17" s="24"/>
      <c r="C17" s="24"/>
      <c r="D17" s="25"/>
    </row>
    <row r="18">
      <c r="A18" s="8" t="s">
        <v>228</v>
      </c>
      <c r="B18" s="10">
        <v>20.0</v>
      </c>
      <c r="C18" s="26" t="s">
        <v>181</v>
      </c>
      <c r="D18" s="27" t="s">
        <v>231</v>
      </c>
    </row>
    <row r="19">
      <c r="A19" s="8" t="s">
        <v>233</v>
      </c>
      <c r="B19" s="29" t="s">
        <v>235</v>
      </c>
      <c r="C19" s="26" t="s">
        <v>237</v>
      </c>
      <c r="D19" s="27" t="s">
        <v>238</v>
      </c>
    </row>
    <row r="20" ht="19.5" customHeight="1">
      <c r="A20" s="23" t="s">
        <v>240</v>
      </c>
      <c r="B20" s="24"/>
      <c r="C20" s="24"/>
      <c r="D20" s="25"/>
    </row>
    <row r="21" ht="15.75" customHeight="1">
      <c r="A21" s="8" t="s">
        <v>245</v>
      </c>
      <c r="B21" s="10">
        <v>85.0</v>
      </c>
      <c r="C21" s="26" t="s">
        <v>166</v>
      </c>
      <c r="D21" s="27" t="s">
        <v>248</v>
      </c>
    </row>
    <row r="22" ht="15.75" customHeight="1">
      <c r="A22" s="8" t="s">
        <v>250</v>
      </c>
      <c r="B22" s="10">
        <v>15.0</v>
      </c>
      <c r="C22" s="26" t="s">
        <v>220</v>
      </c>
      <c r="D22" s="27" t="s">
        <v>254</v>
      </c>
    </row>
    <row r="23" ht="19.5" customHeight="1">
      <c r="A23" s="23" t="s">
        <v>255</v>
      </c>
      <c r="B23" s="24"/>
      <c r="C23" s="24"/>
      <c r="D23" s="25"/>
    </row>
    <row r="24" ht="15.75" customHeight="1">
      <c r="A24" s="8" t="s">
        <v>260</v>
      </c>
      <c r="B24" s="10">
        <v>50.0</v>
      </c>
      <c r="C24" s="26" t="s">
        <v>263</v>
      </c>
      <c r="D24" s="27" t="s">
        <v>264</v>
      </c>
    </row>
    <row r="25" ht="19.5" customHeight="1">
      <c r="A25" s="23" t="s">
        <v>266</v>
      </c>
      <c r="B25" s="24"/>
      <c r="C25" s="24"/>
      <c r="D25" s="25"/>
    </row>
    <row r="26" ht="15.75" customHeight="1">
      <c r="A26" s="8" t="s">
        <v>268</v>
      </c>
      <c r="B26" s="10">
        <v>10.0</v>
      </c>
      <c r="C26" s="26" t="s">
        <v>269</v>
      </c>
      <c r="D26" s="27" t="s">
        <v>271</v>
      </c>
    </row>
    <row r="27" ht="15.75" customHeight="1">
      <c r="A27" s="8" t="s">
        <v>272</v>
      </c>
      <c r="B27" s="10">
        <v>5.0</v>
      </c>
      <c r="C27" s="26" t="s">
        <v>269</v>
      </c>
      <c r="D27" s="27" t="s">
        <v>273</v>
      </c>
    </row>
    <row r="28" ht="19.5" customHeight="1">
      <c r="A28" s="23" t="s">
        <v>275</v>
      </c>
      <c r="B28" s="24"/>
      <c r="C28" s="24"/>
      <c r="D28" s="25"/>
    </row>
    <row r="29" ht="15.75" customHeight="1">
      <c r="A29" s="8" t="s">
        <v>276</v>
      </c>
      <c r="B29" s="10">
        <v>0.0</v>
      </c>
      <c r="C29" s="26" t="s">
        <v>177</v>
      </c>
      <c r="D29" s="27" t="s">
        <v>277</v>
      </c>
    </row>
    <row r="30" ht="15.75" customHeight="1">
      <c r="A30" s="8" t="s">
        <v>278</v>
      </c>
      <c r="B30" s="10">
        <v>10.0</v>
      </c>
      <c r="C30" s="26" t="s">
        <v>166</v>
      </c>
      <c r="D30" s="27" t="s">
        <v>280</v>
      </c>
    </row>
    <row r="31" ht="15.75" customHeight="1">
      <c r="A31" s="8" t="s">
        <v>281</v>
      </c>
      <c r="B31" s="10">
        <v>20.0</v>
      </c>
      <c r="C31" s="26" t="s">
        <v>282</v>
      </c>
      <c r="D31" s="27" t="s">
        <v>283</v>
      </c>
    </row>
    <row r="32" ht="15.75" customHeight="1">
      <c r="A32" s="8" t="s">
        <v>284</v>
      </c>
      <c r="B32" s="29" t="s">
        <v>285</v>
      </c>
      <c r="C32" s="26" t="s">
        <v>286</v>
      </c>
      <c r="D32" s="27" t="s">
        <v>287</v>
      </c>
    </row>
    <row r="33" ht="19.5" customHeight="1">
      <c r="A33" s="23" t="s">
        <v>288</v>
      </c>
      <c r="B33" s="24"/>
      <c r="C33" s="24"/>
      <c r="D33" s="25"/>
    </row>
    <row r="34" ht="15.75" customHeight="1">
      <c r="A34" s="8" t="s">
        <v>290</v>
      </c>
      <c r="B34" s="10">
        <v>50.0</v>
      </c>
      <c r="C34" s="26" t="s">
        <v>291</v>
      </c>
      <c r="D34" s="27" t="s">
        <v>292</v>
      </c>
    </row>
    <row r="35" ht="15.75" customHeight="1">
      <c r="A35" s="8" t="s">
        <v>293</v>
      </c>
      <c r="B35" s="10">
        <v>50.0</v>
      </c>
      <c r="C35" s="26" t="s">
        <v>294</v>
      </c>
      <c r="D35" s="27" t="s">
        <v>295</v>
      </c>
    </row>
    <row r="36" ht="15.75" customHeight="1">
      <c r="A36" s="8" t="s">
        <v>296</v>
      </c>
      <c r="B36" s="29" t="s">
        <v>297</v>
      </c>
      <c r="C36" s="26" t="s">
        <v>298</v>
      </c>
      <c r="D36" s="27" t="s">
        <v>299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3:D23"/>
    <mergeCell ref="A25:D25"/>
    <mergeCell ref="A28:D28"/>
    <mergeCell ref="A33:D33"/>
    <mergeCell ref="A1:D1"/>
    <mergeCell ref="A2:D2"/>
    <mergeCell ref="A5:D5"/>
    <mergeCell ref="A11:D11"/>
    <mergeCell ref="A14:D14"/>
    <mergeCell ref="A17:D17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24.0"/>
    <col customWidth="1" min="4" max="4" width="28.0"/>
    <col customWidth="1" min="5" max="26" width="8.71"/>
  </cols>
  <sheetData>
    <row r="1" ht="21.75" customHeight="1">
      <c r="A1" s="1" t="s">
        <v>191</v>
      </c>
      <c r="B1" s="2"/>
      <c r="C1" s="2"/>
      <c r="D1" s="3"/>
    </row>
    <row r="3" ht="19.5" customHeight="1">
      <c r="A3" s="6" t="s">
        <v>194</v>
      </c>
      <c r="B3" s="2"/>
      <c r="C3" s="2"/>
      <c r="D3" s="3"/>
    </row>
    <row r="4" ht="27.75" customHeight="1">
      <c r="A4" s="5" t="s">
        <v>197</v>
      </c>
      <c r="B4" s="5" t="s">
        <v>198</v>
      </c>
      <c r="C4" s="5" t="s">
        <v>199</v>
      </c>
      <c r="D4" s="5" t="s">
        <v>200</v>
      </c>
    </row>
    <row r="5">
      <c r="A5" s="8" t="s">
        <v>201</v>
      </c>
      <c r="B5" s="28" t="s">
        <v>202</v>
      </c>
      <c r="C5" s="28">
        <v>3.0</v>
      </c>
      <c r="D5" s="27" t="s">
        <v>205</v>
      </c>
    </row>
    <row r="6">
      <c r="A6" s="8" t="s">
        <v>206</v>
      </c>
      <c r="B6" s="28" t="s">
        <v>207</v>
      </c>
      <c r="C6" s="28">
        <v>2.0</v>
      </c>
      <c r="D6" s="27" t="s">
        <v>208</v>
      </c>
    </row>
    <row r="7">
      <c r="A7" s="8" t="s">
        <v>209</v>
      </c>
      <c r="B7" s="28" t="s">
        <v>207</v>
      </c>
      <c r="C7" s="28">
        <v>1.0</v>
      </c>
      <c r="D7" s="27" t="s">
        <v>211</v>
      </c>
    </row>
    <row r="8">
      <c r="A8" s="8" t="s">
        <v>213</v>
      </c>
      <c r="B8" s="28" t="s">
        <v>202</v>
      </c>
      <c r="C8" s="28">
        <v>4.0</v>
      </c>
      <c r="D8" s="27" t="s">
        <v>218</v>
      </c>
    </row>
    <row r="9">
      <c r="A9" s="8" t="s">
        <v>219</v>
      </c>
      <c r="B9" s="28" t="s">
        <v>207</v>
      </c>
      <c r="C9" s="28">
        <v>1.0</v>
      </c>
      <c r="D9" s="27" t="s">
        <v>222</v>
      </c>
    </row>
    <row r="10">
      <c r="A10" s="8" t="s">
        <v>223</v>
      </c>
      <c r="B10" s="28" t="s">
        <v>202</v>
      </c>
      <c r="C10" s="28">
        <v>3.0</v>
      </c>
      <c r="D10" s="27" t="s">
        <v>229</v>
      </c>
    </row>
    <row r="13" ht="19.5" customHeight="1">
      <c r="A13" s="6" t="s">
        <v>234</v>
      </c>
      <c r="B13" s="2"/>
      <c r="C13" s="2"/>
      <c r="D13" s="3"/>
    </row>
    <row r="14" ht="27.75" customHeight="1">
      <c r="A14" s="5" t="s">
        <v>239</v>
      </c>
      <c r="B14" s="5" t="s">
        <v>22</v>
      </c>
      <c r="C14" s="5" t="s">
        <v>242</v>
      </c>
      <c r="D14" s="5" t="s">
        <v>243</v>
      </c>
    </row>
    <row r="15">
      <c r="A15" s="30" t="s">
        <v>244</v>
      </c>
      <c r="B15" s="9" t="s">
        <v>247</v>
      </c>
      <c r="C15" s="9" t="s">
        <v>249</v>
      </c>
      <c r="D15" s="9" t="s">
        <v>251</v>
      </c>
    </row>
    <row r="16">
      <c r="A16" s="30" t="s">
        <v>253</v>
      </c>
      <c r="B16" s="9" t="s">
        <v>80</v>
      </c>
      <c r="C16" s="9" t="s">
        <v>43</v>
      </c>
      <c r="D16" s="9" t="s">
        <v>43</v>
      </c>
    </row>
    <row r="17">
      <c r="A17" s="30" t="s">
        <v>257</v>
      </c>
      <c r="B17" s="9" t="s">
        <v>80</v>
      </c>
      <c r="C17" s="9" t="s">
        <v>80</v>
      </c>
      <c r="D17" s="9" t="s">
        <v>43</v>
      </c>
    </row>
    <row r="18">
      <c r="A18" s="30" t="s">
        <v>258</v>
      </c>
      <c r="B18" s="9" t="s">
        <v>80</v>
      </c>
      <c r="C18" s="9" t="s">
        <v>43</v>
      </c>
      <c r="D18" s="9" t="s">
        <v>43</v>
      </c>
    </row>
    <row r="19">
      <c r="A19" s="30" t="s">
        <v>259</v>
      </c>
      <c r="B19" s="9" t="s">
        <v>80</v>
      </c>
      <c r="C19" s="9" t="s">
        <v>80</v>
      </c>
      <c r="D19" s="9" t="s">
        <v>43</v>
      </c>
    </row>
    <row r="20">
      <c r="A20" s="30" t="s">
        <v>261</v>
      </c>
      <c r="B20" s="9" t="s">
        <v>202</v>
      </c>
      <c r="C20" s="9" t="s">
        <v>262</v>
      </c>
      <c r="D20" s="9" t="s">
        <v>207</v>
      </c>
    </row>
    <row r="21" ht="15.75" customHeight="1">
      <c r="A21" s="30" t="s">
        <v>265</v>
      </c>
      <c r="B21" s="9" t="s">
        <v>80</v>
      </c>
      <c r="C21" s="9" t="s">
        <v>80</v>
      </c>
      <c r="D21" s="9" t="s">
        <v>43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3:D3"/>
    <mergeCell ref="A13:D1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14.0"/>
    <col customWidth="1" min="4" max="4" width="18.0"/>
    <col customWidth="1" min="5" max="5" width="16.0"/>
    <col customWidth="1" min="6" max="7" width="14.0"/>
    <col customWidth="1" min="8" max="26" width="8.71"/>
  </cols>
  <sheetData>
    <row r="1" ht="21.75" customHeight="1">
      <c r="A1" s="1" t="s">
        <v>335</v>
      </c>
      <c r="B1" s="2"/>
      <c r="C1" s="2"/>
      <c r="D1" s="2"/>
      <c r="E1" s="2"/>
      <c r="F1" s="2"/>
      <c r="G1" s="3"/>
    </row>
    <row r="2" ht="15.0" customHeight="1">
      <c r="A2" s="4" t="s">
        <v>336</v>
      </c>
    </row>
    <row r="4" ht="19.5" customHeight="1">
      <c r="A4" s="6" t="s">
        <v>337</v>
      </c>
      <c r="B4" s="2"/>
      <c r="C4" s="2"/>
      <c r="D4" s="2"/>
      <c r="E4" s="2"/>
      <c r="F4" s="2"/>
      <c r="G4" s="3"/>
    </row>
    <row r="5" ht="27.75" customHeight="1">
      <c r="A5" s="5" t="s">
        <v>338</v>
      </c>
      <c r="B5" s="5" t="s">
        <v>339</v>
      </c>
      <c r="C5" s="5" t="s">
        <v>340</v>
      </c>
      <c r="D5" s="5" t="s">
        <v>130</v>
      </c>
      <c r="E5" s="5" t="s">
        <v>341</v>
      </c>
      <c r="F5" s="5" t="s">
        <v>342</v>
      </c>
      <c r="G5" s="5" t="s">
        <v>343</v>
      </c>
    </row>
    <row r="6">
      <c r="A6" s="8" t="s">
        <v>344</v>
      </c>
      <c r="B6" s="37">
        <v>2.0</v>
      </c>
      <c r="C6" s="10">
        <v>1200.0</v>
      </c>
      <c r="D6" s="12">
        <f t="shared" ref="D6:D12" si="1">B6*C6</f>
        <v>2400</v>
      </c>
      <c r="E6" s="10">
        <v>750.0</v>
      </c>
      <c r="F6" s="12">
        <f t="shared" ref="F6:F12" si="2">B6*E6</f>
        <v>1500</v>
      </c>
      <c r="G6" s="19">
        <f t="shared" ref="G6:G12" si="3">D6-F6</f>
        <v>900</v>
      </c>
    </row>
    <row r="7">
      <c r="A7" s="8" t="s">
        <v>345</v>
      </c>
      <c r="B7" s="37">
        <v>1.0</v>
      </c>
      <c r="C7" s="10">
        <v>1325.0</v>
      </c>
      <c r="D7" s="12">
        <f t="shared" si="1"/>
        <v>1325</v>
      </c>
      <c r="E7" s="10">
        <v>850.0</v>
      </c>
      <c r="F7" s="12">
        <f t="shared" si="2"/>
        <v>850</v>
      </c>
      <c r="G7" s="19">
        <f t="shared" si="3"/>
        <v>475</v>
      </c>
    </row>
    <row r="8">
      <c r="A8" s="8" t="s">
        <v>346</v>
      </c>
      <c r="B8" s="37">
        <v>0.0</v>
      </c>
      <c r="C8" s="10">
        <v>1775.0</v>
      </c>
      <c r="D8" s="12">
        <f t="shared" si="1"/>
        <v>0</v>
      </c>
      <c r="E8" s="10">
        <v>1075.0</v>
      </c>
      <c r="F8" s="12">
        <f t="shared" si="2"/>
        <v>0</v>
      </c>
      <c r="G8" s="19">
        <f t="shared" si="3"/>
        <v>0</v>
      </c>
    </row>
    <row r="9">
      <c r="A9" s="8" t="s">
        <v>347</v>
      </c>
      <c r="B9" s="37">
        <v>1.0</v>
      </c>
      <c r="C9" s="10">
        <v>1500.0</v>
      </c>
      <c r="D9" s="12">
        <f t="shared" si="1"/>
        <v>1500</v>
      </c>
      <c r="E9" s="10">
        <v>750.0</v>
      </c>
      <c r="F9" s="12">
        <f t="shared" si="2"/>
        <v>750</v>
      </c>
      <c r="G9" s="19">
        <f t="shared" si="3"/>
        <v>750</v>
      </c>
    </row>
    <row r="10">
      <c r="A10" s="8" t="s">
        <v>348</v>
      </c>
      <c r="B10" s="37">
        <v>1.0</v>
      </c>
      <c r="C10" s="10">
        <v>1625.0</v>
      </c>
      <c r="D10" s="12">
        <f t="shared" si="1"/>
        <v>1625</v>
      </c>
      <c r="E10" s="10">
        <v>850.0</v>
      </c>
      <c r="F10" s="12">
        <f t="shared" si="2"/>
        <v>850</v>
      </c>
      <c r="G10" s="19">
        <f t="shared" si="3"/>
        <v>775</v>
      </c>
    </row>
    <row r="11">
      <c r="A11" s="8" t="s">
        <v>349</v>
      </c>
      <c r="B11" s="37">
        <v>0.0</v>
      </c>
      <c r="C11" s="10">
        <v>1925.0</v>
      </c>
      <c r="D11" s="12">
        <f t="shared" si="1"/>
        <v>0</v>
      </c>
      <c r="E11" s="10">
        <v>950.0</v>
      </c>
      <c r="F11" s="12">
        <f t="shared" si="2"/>
        <v>0</v>
      </c>
      <c r="G11" s="19">
        <f t="shared" si="3"/>
        <v>0</v>
      </c>
    </row>
    <row r="12">
      <c r="A12" s="8" t="s">
        <v>350</v>
      </c>
      <c r="B12" s="37">
        <v>0.0</v>
      </c>
      <c r="C12" s="10">
        <v>2175.0</v>
      </c>
      <c r="D12" s="12">
        <f t="shared" si="1"/>
        <v>0</v>
      </c>
      <c r="E12" s="10">
        <v>1075.0</v>
      </c>
      <c r="F12" s="12">
        <f t="shared" si="2"/>
        <v>0</v>
      </c>
      <c r="G12" s="19">
        <f t="shared" si="3"/>
        <v>0</v>
      </c>
    </row>
    <row r="13">
      <c r="A13" s="38" t="s">
        <v>351</v>
      </c>
      <c r="B13" s="39"/>
      <c r="C13" s="40"/>
      <c r="D13" s="41">
        <f>SUM(D6:D12)</f>
        <v>6850</v>
      </c>
      <c r="E13" s="40"/>
      <c r="F13" s="41">
        <f t="shared" ref="F13:G13" si="4">SUM(F6:F12)</f>
        <v>3950</v>
      </c>
      <c r="G13" s="41">
        <f t="shared" si="4"/>
        <v>2900</v>
      </c>
    </row>
    <row r="15" ht="19.5" customHeight="1">
      <c r="A15" s="6" t="s">
        <v>352</v>
      </c>
      <c r="B15" s="2"/>
      <c r="C15" s="2"/>
      <c r="D15" s="2"/>
      <c r="E15" s="2"/>
      <c r="F15" s="2"/>
      <c r="G15" s="3"/>
    </row>
    <row r="16" ht="27.75" customHeight="1">
      <c r="A16" s="5" t="s">
        <v>338</v>
      </c>
      <c r="B16" s="5" t="s">
        <v>339</v>
      </c>
      <c r="C16" s="5" t="s">
        <v>340</v>
      </c>
      <c r="D16" s="5" t="s">
        <v>130</v>
      </c>
      <c r="E16" s="5" t="s">
        <v>341</v>
      </c>
      <c r="F16" s="5" t="s">
        <v>342</v>
      </c>
      <c r="G16" s="5" t="s">
        <v>343</v>
      </c>
    </row>
    <row r="17">
      <c r="A17" s="8" t="s">
        <v>353</v>
      </c>
      <c r="B17" s="37">
        <v>1.0</v>
      </c>
      <c r="C17" s="10">
        <v>780.0</v>
      </c>
      <c r="D17" s="12">
        <f t="shared" ref="D17:D22" si="5">B17*C17</f>
        <v>780</v>
      </c>
      <c r="E17" s="10">
        <v>460.0</v>
      </c>
      <c r="F17" s="12">
        <f t="shared" ref="F17:F22" si="6">B17*E17</f>
        <v>460</v>
      </c>
      <c r="G17" s="19">
        <f t="shared" ref="G17:G22" si="7">D17-F17</f>
        <v>320</v>
      </c>
    </row>
    <row r="18">
      <c r="A18" s="8" t="s">
        <v>354</v>
      </c>
      <c r="B18" s="37">
        <v>0.0</v>
      </c>
      <c r="C18" s="10">
        <v>980.0</v>
      </c>
      <c r="D18" s="12">
        <f t="shared" si="5"/>
        <v>0</v>
      </c>
      <c r="E18" s="10">
        <v>580.0</v>
      </c>
      <c r="F18" s="12">
        <f t="shared" si="6"/>
        <v>0</v>
      </c>
      <c r="G18" s="19">
        <f t="shared" si="7"/>
        <v>0</v>
      </c>
    </row>
    <row r="19">
      <c r="A19" s="8" t="s">
        <v>355</v>
      </c>
      <c r="B19" s="37">
        <v>2.0</v>
      </c>
      <c r="C19" s="10">
        <v>470.0</v>
      </c>
      <c r="D19" s="12">
        <f t="shared" si="5"/>
        <v>940</v>
      </c>
      <c r="E19" s="10">
        <v>230.0</v>
      </c>
      <c r="F19" s="12">
        <f t="shared" si="6"/>
        <v>460</v>
      </c>
      <c r="G19" s="19">
        <f t="shared" si="7"/>
        <v>480</v>
      </c>
    </row>
    <row r="20">
      <c r="A20" s="8" t="s">
        <v>356</v>
      </c>
      <c r="B20" s="37">
        <v>1.0</v>
      </c>
      <c r="C20" s="10">
        <v>590.0</v>
      </c>
      <c r="D20" s="12">
        <f t="shared" si="5"/>
        <v>590</v>
      </c>
      <c r="E20" s="10">
        <v>290.0</v>
      </c>
      <c r="F20" s="12">
        <f t="shared" si="6"/>
        <v>290</v>
      </c>
      <c r="G20" s="19">
        <f t="shared" si="7"/>
        <v>300</v>
      </c>
    </row>
    <row r="21" ht="15.75" customHeight="1">
      <c r="A21" s="8" t="s">
        <v>357</v>
      </c>
      <c r="B21" s="37">
        <v>1.0</v>
      </c>
      <c r="C21" s="10">
        <v>275.0</v>
      </c>
      <c r="D21" s="12">
        <f t="shared" si="5"/>
        <v>275</v>
      </c>
      <c r="E21" s="10">
        <v>115.0</v>
      </c>
      <c r="F21" s="12">
        <f t="shared" si="6"/>
        <v>115</v>
      </c>
      <c r="G21" s="19">
        <f t="shared" si="7"/>
        <v>160</v>
      </c>
    </row>
    <row r="22" ht="15.75" customHeight="1">
      <c r="A22" s="8" t="s">
        <v>358</v>
      </c>
      <c r="B22" s="37">
        <v>0.0</v>
      </c>
      <c r="C22" s="10">
        <v>345.0</v>
      </c>
      <c r="D22" s="12">
        <f t="shared" si="5"/>
        <v>0</v>
      </c>
      <c r="E22" s="10">
        <v>145.0</v>
      </c>
      <c r="F22" s="12">
        <f t="shared" si="6"/>
        <v>0</v>
      </c>
      <c r="G22" s="19">
        <f t="shared" si="7"/>
        <v>0</v>
      </c>
    </row>
    <row r="23" ht="15.75" customHeight="1">
      <c r="A23" s="38" t="s">
        <v>359</v>
      </c>
      <c r="B23" s="39"/>
      <c r="C23" s="40"/>
      <c r="D23" s="41">
        <f>SUM(D17:D22)</f>
        <v>2585</v>
      </c>
      <c r="E23" s="40"/>
      <c r="F23" s="41">
        <f t="shared" ref="F23:G23" si="8">SUM(F17:F22)</f>
        <v>1325</v>
      </c>
      <c r="G23" s="41">
        <f t="shared" si="8"/>
        <v>1260</v>
      </c>
    </row>
    <row r="24" ht="15.75" customHeight="1"/>
    <row r="25" ht="19.5" customHeight="1">
      <c r="A25" s="6" t="s">
        <v>360</v>
      </c>
      <c r="B25" s="2"/>
      <c r="C25" s="2"/>
      <c r="D25" s="2"/>
      <c r="E25" s="2"/>
      <c r="F25" s="2"/>
      <c r="G25" s="3"/>
    </row>
    <row r="26" ht="27.75" customHeight="1">
      <c r="A26" s="5" t="s">
        <v>361</v>
      </c>
      <c r="B26" s="5" t="s">
        <v>362</v>
      </c>
      <c r="C26" s="5" t="s">
        <v>363</v>
      </c>
      <c r="D26" s="5" t="s">
        <v>364</v>
      </c>
      <c r="E26" s="5" t="s">
        <v>365</v>
      </c>
      <c r="F26" s="5" t="s">
        <v>366</v>
      </c>
      <c r="G26" s="5" t="s">
        <v>32</v>
      </c>
    </row>
    <row r="27" ht="15.75" customHeight="1">
      <c r="A27" s="8" t="s">
        <v>367</v>
      </c>
      <c r="B27" s="37">
        <v>2.0</v>
      </c>
      <c r="C27" s="10">
        <v>650.0</v>
      </c>
      <c r="D27" s="12">
        <f t="shared" ref="D27:D31" si="9">B27*C27</f>
        <v>1300</v>
      </c>
      <c r="E27" s="10">
        <v>370.0</v>
      </c>
      <c r="F27" s="12">
        <f t="shared" ref="F27:F31" si="10">B27*E27</f>
        <v>740</v>
      </c>
      <c r="G27" s="19">
        <f t="shared" ref="G27:G31" si="11">D27-F27</f>
        <v>560</v>
      </c>
    </row>
    <row r="28" ht="15.75" customHeight="1">
      <c r="A28" s="8" t="s">
        <v>368</v>
      </c>
      <c r="B28" s="37">
        <v>2.0</v>
      </c>
      <c r="C28" s="10">
        <v>795.0</v>
      </c>
      <c r="D28" s="12">
        <f t="shared" si="9"/>
        <v>1590</v>
      </c>
      <c r="E28" s="10">
        <v>450.0</v>
      </c>
      <c r="F28" s="12">
        <f t="shared" si="10"/>
        <v>900</v>
      </c>
      <c r="G28" s="19">
        <f t="shared" si="11"/>
        <v>690</v>
      </c>
    </row>
    <row r="29" ht="15.75" customHeight="1">
      <c r="A29" s="8" t="s">
        <v>369</v>
      </c>
      <c r="B29" s="37">
        <v>1.0</v>
      </c>
      <c r="C29" s="10">
        <v>1495.0</v>
      </c>
      <c r="D29" s="12">
        <f t="shared" si="9"/>
        <v>1495</v>
      </c>
      <c r="E29" s="10">
        <v>850.0</v>
      </c>
      <c r="F29" s="12">
        <f t="shared" si="10"/>
        <v>850</v>
      </c>
      <c r="G29" s="19">
        <f t="shared" si="11"/>
        <v>645</v>
      </c>
    </row>
    <row r="30" ht="15.75" customHeight="1">
      <c r="A30" s="8" t="s">
        <v>370</v>
      </c>
      <c r="B30" s="37">
        <v>1.0</v>
      </c>
      <c r="C30" s="10">
        <v>1495.0</v>
      </c>
      <c r="D30" s="12">
        <f t="shared" si="9"/>
        <v>1495</v>
      </c>
      <c r="E30" s="10">
        <v>850.0</v>
      </c>
      <c r="F30" s="12">
        <f t="shared" si="10"/>
        <v>850</v>
      </c>
      <c r="G30" s="19">
        <f t="shared" si="11"/>
        <v>645</v>
      </c>
    </row>
    <row r="31" ht="15.75" customHeight="1">
      <c r="A31" s="8" t="s">
        <v>371</v>
      </c>
      <c r="B31" s="37">
        <v>4.0</v>
      </c>
      <c r="C31" s="10">
        <v>195.0</v>
      </c>
      <c r="D31" s="12">
        <f t="shared" si="9"/>
        <v>780</v>
      </c>
      <c r="E31" s="10">
        <v>95.0</v>
      </c>
      <c r="F31" s="12">
        <f t="shared" si="10"/>
        <v>380</v>
      </c>
      <c r="G31" s="19">
        <f t="shared" si="11"/>
        <v>400</v>
      </c>
    </row>
    <row r="32" ht="15.75" customHeight="1">
      <c r="A32" s="38" t="s">
        <v>372</v>
      </c>
      <c r="B32" s="42"/>
      <c r="C32" s="43"/>
      <c r="D32" s="41">
        <f>SUM(D27:D31)</f>
        <v>6660</v>
      </c>
      <c r="E32" s="43"/>
      <c r="F32" s="41">
        <f t="shared" ref="F32:G32" si="12">SUM(F27:F31)</f>
        <v>3720</v>
      </c>
      <c r="G32" s="41">
        <f t="shared" si="12"/>
        <v>2940</v>
      </c>
    </row>
    <row r="33" ht="15.75" customHeight="1"/>
    <row r="34" ht="19.5" customHeight="1">
      <c r="A34" s="6" t="s">
        <v>373</v>
      </c>
      <c r="B34" s="2"/>
      <c r="C34" s="2"/>
      <c r="D34" s="2"/>
      <c r="E34" s="2"/>
      <c r="F34" s="2"/>
      <c r="G34" s="3"/>
    </row>
    <row r="35" ht="27.75" customHeight="1">
      <c r="A35" s="5"/>
      <c r="B35" s="5"/>
      <c r="C35" s="5"/>
      <c r="D35" s="5" t="s">
        <v>374</v>
      </c>
      <c r="E35" s="5"/>
      <c r="F35" s="5" t="s">
        <v>366</v>
      </c>
      <c r="G35" s="5" t="s">
        <v>375</v>
      </c>
    </row>
    <row r="36" ht="15.75" customHeight="1">
      <c r="A36" s="44" t="s">
        <v>376</v>
      </c>
      <c r="B36" s="45"/>
      <c r="C36" s="46"/>
      <c r="D36" s="47">
        <f>D13+D23+D32</f>
        <v>16095</v>
      </c>
      <c r="E36" s="46"/>
      <c r="F36" s="47">
        <f t="shared" ref="F36:G36" si="13">F13+F23+F32</f>
        <v>8995</v>
      </c>
      <c r="G36" s="47">
        <f t="shared" si="13"/>
        <v>7100</v>
      </c>
    </row>
    <row r="37" ht="15.75" customHeight="1">
      <c r="A37" s="30" t="s">
        <v>377</v>
      </c>
      <c r="B37" s="7"/>
      <c r="C37" s="7"/>
      <c r="D37" s="7"/>
      <c r="E37" s="7"/>
      <c r="F37" s="7"/>
      <c r="G37" s="48">
        <f>G36/D36</f>
        <v>0.441130786</v>
      </c>
    </row>
    <row r="38" ht="15.75" customHeight="1"/>
    <row r="39" ht="19.5" customHeight="1">
      <c r="A39" s="6" t="s">
        <v>378</v>
      </c>
      <c r="B39" s="2"/>
      <c r="C39" s="2"/>
      <c r="D39" s="2"/>
      <c r="E39" s="2"/>
      <c r="F39" s="2"/>
      <c r="G39" s="3"/>
    </row>
    <row r="40" ht="27.75" customHeight="1">
      <c r="A40" s="5" t="s">
        <v>379</v>
      </c>
      <c r="B40" s="5" t="s">
        <v>342</v>
      </c>
      <c r="C40" s="5"/>
      <c r="D40" s="5"/>
      <c r="E40" s="5"/>
      <c r="F40" s="5"/>
      <c r="G40" s="5"/>
    </row>
    <row r="41" ht="15.75" customHeight="1">
      <c r="A41" s="8" t="s">
        <v>380</v>
      </c>
      <c r="B41" s="10">
        <v>150.0</v>
      </c>
      <c r="C41" s="8"/>
      <c r="D41" s="8"/>
      <c r="E41" s="8"/>
      <c r="F41" s="8"/>
      <c r="G41" s="8"/>
    </row>
    <row r="42" ht="15.75" customHeight="1">
      <c r="A42" s="8" t="s">
        <v>381</v>
      </c>
      <c r="B42" s="10">
        <v>100.0</v>
      </c>
      <c r="C42" s="8"/>
      <c r="D42" s="8"/>
      <c r="E42" s="8"/>
      <c r="F42" s="8"/>
      <c r="G42" s="8"/>
    </row>
    <row r="43" ht="15.75" customHeight="1">
      <c r="A43" s="8" t="s">
        <v>382</v>
      </c>
      <c r="B43" s="10">
        <v>300.0</v>
      </c>
      <c r="C43" s="8"/>
      <c r="D43" s="8"/>
      <c r="E43" s="8"/>
      <c r="F43" s="8"/>
      <c r="G43" s="8"/>
    </row>
    <row r="44" ht="15.75" customHeight="1">
      <c r="A44" s="8" t="s">
        <v>383</v>
      </c>
      <c r="B44" s="10">
        <v>200.0</v>
      </c>
      <c r="C44" s="8"/>
      <c r="D44" s="8"/>
      <c r="E44" s="8"/>
      <c r="F44" s="8"/>
      <c r="G44" s="8"/>
    </row>
    <row r="45" ht="15.75" customHeight="1">
      <c r="A45" s="8" t="s">
        <v>384</v>
      </c>
      <c r="B45" s="10">
        <v>300.0</v>
      </c>
      <c r="C45" s="8"/>
      <c r="D45" s="8"/>
      <c r="E45" s="8"/>
      <c r="F45" s="8"/>
      <c r="G45" s="8"/>
    </row>
    <row r="46" ht="15.75" customHeight="1">
      <c r="A46" s="8" t="s">
        <v>385</v>
      </c>
      <c r="B46" s="10">
        <v>75.0</v>
      </c>
      <c r="C46" s="8"/>
      <c r="D46" s="8"/>
      <c r="E46" s="8"/>
      <c r="F46" s="8"/>
      <c r="G46" s="8"/>
    </row>
    <row r="47" ht="15.75" customHeight="1">
      <c r="A47" s="8" t="s">
        <v>386</v>
      </c>
      <c r="B47" s="10">
        <v>100.0</v>
      </c>
      <c r="C47" s="8"/>
      <c r="D47" s="8"/>
      <c r="E47" s="8"/>
      <c r="F47" s="8"/>
      <c r="G47" s="8"/>
    </row>
    <row r="48" ht="15.75" customHeight="1">
      <c r="A48" s="38" t="s">
        <v>387</v>
      </c>
      <c r="B48" s="41">
        <f>SUM(B41:B47)</f>
        <v>1225</v>
      </c>
      <c r="C48" s="49"/>
      <c r="D48" s="49"/>
      <c r="E48" s="49"/>
      <c r="F48" s="49"/>
      <c r="G48" s="49"/>
    </row>
    <row r="49" ht="15.75" customHeight="1">
      <c r="A49" s="44" t="s">
        <v>388</v>
      </c>
      <c r="B49" s="50">
        <f>G36-B48</f>
        <v>5875</v>
      </c>
      <c r="C49" s="51"/>
      <c r="D49" s="51"/>
      <c r="E49" s="51"/>
      <c r="F49" s="51"/>
      <c r="G49" s="5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G4"/>
    <mergeCell ref="A15:G15"/>
    <mergeCell ref="A25:G25"/>
    <mergeCell ref="A34:G34"/>
    <mergeCell ref="A39:G39"/>
  </mergeCells>
  <printOptions/>
  <pageMargins bottom="1.0" footer="0.0" header="0.0" left="0.75" right="0.75" top="1.0"/>
  <pageSetup paperSize="9" orientation="portrait"/>
  <drawing r:id="rId1"/>
</worksheet>
</file>